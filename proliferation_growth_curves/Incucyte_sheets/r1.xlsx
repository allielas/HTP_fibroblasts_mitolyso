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"/>
    </mc:Choice>
  </mc:AlternateContent>
  <xr:revisionPtr revIDLastSave="0" documentId="13_ncr:1_{41D588E1-770F-6540-811D-2EE483280BD6}" xr6:coauthVersionLast="47" xr6:coauthVersionMax="47" xr10:uidLastSave="{00000000-0000-0000-0000-000000000000}"/>
  <bookViews>
    <workbookView xWindow="-30880" yWindow="-2600" windowWidth="29080" windowHeight="18060" xr2:uid="{CE69FD8B-C953-BE43-8DFD-C6C90D6E9205}"/>
  </bookViews>
  <sheets>
    <sheet name="Reformatted" sheetId="2" r:id="rId1"/>
    <sheet name="raw" sheetId="1" r:id="rId2"/>
    <sheet name="Reformatted (2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3" i="2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" i="4"/>
  <c r="F2" i="4"/>
  <c r="G2" i="4"/>
  <c r="H2" i="4"/>
  <c r="I2" i="4"/>
  <c r="J2" i="4"/>
  <c r="K2" i="4"/>
  <c r="L2" i="4"/>
  <c r="M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" i="4"/>
  <c r="D26" i="2"/>
  <c r="D27" i="2"/>
  <c r="D24" i="2"/>
  <c r="D23" i="2"/>
  <c r="D30" i="2"/>
  <c r="D31" i="2" s="1"/>
  <c r="D29" i="2"/>
  <c r="D28" i="2"/>
  <c r="D25" i="2"/>
  <c r="E25" i="2"/>
  <c r="F25" i="2"/>
  <c r="G25" i="2"/>
  <c r="H25" i="2"/>
  <c r="I25" i="2"/>
  <c r="J25" i="2"/>
  <c r="K25" i="2"/>
  <c r="L25" i="2"/>
  <c r="L22" i="2"/>
  <c r="E22" i="2"/>
  <c r="F22" i="2"/>
  <c r="G22" i="2"/>
  <c r="H22" i="2"/>
  <c r="I22" i="2"/>
  <c r="J22" i="2"/>
  <c r="K22" i="2"/>
  <c r="D22" i="2"/>
  <c r="F21" i="2"/>
  <c r="G21" i="2"/>
  <c r="H21" i="2"/>
  <c r="I21" i="2"/>
  <c r="J21" i="2"/>
  <c r="K21" i="2"/>
  <c r="L21" i="2"/>
  <c r="E21" i="2"/>
  <c r="D21" i="2"/>
  <c r="D3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Allie Spangaro</author>
  </authors>
  <commentList>
    <comment ref="AP13" authorId="0" shapeId="0" xr:uid="{C4770D90-344B-D543-843C-90C0328F18D3}">
      <text>
        <r>
          <rPr>
            <b/>
            <sz val="10"/>
            <color rgb="FF000000"/>
            <rFont val="Tahoma"/>
            <family val="2"/>
          </rPr>
          <t>Allie Spangaro: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Replaced 1%</t>
        </r>
      </text>
    </comment>
  </commentList>
</comments>
</file>

<file path=xl/sharedStrings.xml><?xml version="1.0" encoding="utf-8"?>
<sst xmlns="http://schemas.openxmlformats.org/spreadsheetml/2006/main" count="364" uniqueCount="287">
  <si>
    <t>Vessel Name: AS_MRC-5_20240313</t>
  </si>
  <si>
    <t>Metric: Cells Confluence (%)</t>
  </si>
  <si>
    <t xml:space="preserve">Cell Type: </t>
  </si>
  <si>
    <t>Passage: 0</t>
  </si>
  <si>
    <t xml:space="preserve">Notes: </t>
  </si>
  <si>
    <t>Analysis: AS_Confluence_MRC-5_New_Mar31</t>
  </si>
  <si>
    <t>Date Time</t>
  </si>
  <si>
    <t>Elapsed</t>
  </si>
  <si>
    <t>P17 (A1), Image 1</t>
  </si>
  <si>
    <t>P17 (A1), Image 2</t>
  </si>
  <si>
    <t>P17 (A1), Image 3</t>
  </si>
  <si>
    <t>P17 (A1), Image 4</t>
  </si>
  <si>
    <t>P17 (A1), Image 5</t>
  </si>
  <si>
    <t>P17 (A1), Image 6</t>
  </si>
  <si>
    <t>P17 (A1), Image 7</t>
  </si>
  <si>
    <t>P17 (A1), Image 8</t>
  </si>
  <si>
    <t>P17 (A1), Image 9</t>
  </si>
  <si>
    <t>P17 (B1), Image 1</t>
  </si>
  <si>
    <t>P17 (B1), Image 2</t>
  </si>
  <si>
    <t>P17 (B1), Image 3</t>
  </si>
  <si>
    <t>P17 (B1), Image 4</t>
  </si>
  <si>
    <t>P17 (B1), Image 5</t>
  </si>
  <si>
    <t>P17 (B1), Image 6</t>
  </si>
  <si>
    <t>P17 (B1), Image 7</t>
  </si>
  <si>
    <t>P17 (B1), Image 8</t>
  </si>
  <si>
    <t>P17 (B1), Image 9</t>
  </si>
  <si>
    <t>P14 (A2), Image 1</t>
  </si>
  <si>
    <t>P14 (A2), Image 2</t>
  </si>
  <si>
    <t>P14 (A2), Image 3</t>
  </si>
  <si>
    <t>P14 (A2), Image 4</t>
  </si>
  <si>
    <t>P14 (A2), Image 5</t>
  </si>
  <si>
    <t>P14 (A2), Image 6</t>
  </si>
  <si>
    <t>P14 (A2), Image 7</t>
  </si>
  <si>
    <t>P14 (A2), Image 8</t>
  </si>
  <si>
    <t>P14 (A2), Image 9</t>
  </si>
  <si>
    <t>P14 (B2), Image 1</t>
  </si>
  <si>
    <t>P14 (B2), Image 2</t>
  </si>
  <si>
    <t>P14 (B2), Image 3</t>
  </si>
  <si>
    <t>P14 (B2), Image 4</t>
  </si>
  <si>
    <t>P14 (B2), Image 5</t>
  </si>
  <si>
    <t>P14 (B2), Image 6</t>
  </si>
  <si>
    <t>P14 (B2), Image 7</t>
  </si>
  <si>
    <t>P14 (B2), Image 8</t>
  </si>
  <si>
    <t>P14 (B2), Image 9</t>
  </si>
  <si>
    <t>P12 (A3), Image 1</t>
  </si>
  <si>
    <t>P12 (A3), Image 2</t>
  </si>
  <si>
    <t>P12 (A3), Image 3</t>
  </si>
  <si>
    <t>P12 (A3), Image 4</t>
  </si>
  <si>
    <t>P12 (A3), Image 5</t>
  </si>
  <si>
    <t>P12 (A3), Image 6</t>
  </si>
  <si>
    <t>P12 (A3), Image 7</t>
  </si>
  <si>
    <t>P12 (A3), Image 8</t>
  </si>
  <si>
    <t>P12 (A3), Image 9</t>
  </si>
  <si>
    <t>P12 (B3), Image 1</t>
  </si>
  <si>
    <t>P12 (B3), Image 2</t>
  </si>
  <si>
    <t>P12 (B3), Image 3</t>
  </si>
  <si>
    <t>P12 (B3), Image 4</t>
  </si>
  <si>
    <t>P12 (B3), Image 5</t>
  </si>
  <si>
    <t>P12 (B3), Image 6</t>
  </si>
  <si>
    <t>P12 (B3), Image 7</t>
  </si>
  <si>
    <t>P12 (B3), Image 8</t>
  </si>
  <si>
    <t>P12 (B3), Image 9</t>
  </si>
  <si>
    <t>P9 (A4), Image 1</t>
  </si>
  <si>
    <t>P9 (A4), Image 2</t>
  </si>
  <si>
    <t>P9 (A4), Image 3</t>
  </si>
  <si>
    <t>P9 (A4), Image 4</t>
  </si>
  <si>
    <t>P9 (A4), Image 5</t>
  </si>
  <si>
    <t>P9 (A4), Image 6</t>
  </si>
  <si>
    <t>P9 (A4), Image 7</t>
  </si>
  <si>
    <t>P9 (A4), Image 8</t>
  </si>
  <si>
    <t>P9 (A4), Image 9</t>
  </si>
  <si>
    <t>P9 (B4), Image 1</t>
  </si>
  <si>
    <t>P9 (B4), Image 2</t>
  </si>
  <si>
    <t>P9 (B4), Image 3</t>
  </si>
  <si>
    <t>P9 (B4), Image 4</t>
  </si>
  <si>
    <t>P9 (B4), Image 5</t>
  </si>
  <si>
    <t>P9 (B4), Image 6</t>
  </si>
  <si>
    <t>P9 (B4), Image 7</t>
  </si>
  <si>
    <t>P9 (B4), Image 8</t>
  </si>
  <si>
    <t>P9 (B4), Image 9</t>
  </si>
  <si>
    <t>C1, Image 1</t>
  </si>
  <si>
    <t>C1, Image 2</t>
  </si>
  <si>
    <t>C1, Image 3</t>
  </si>
  <si>
    <t>C1, Image 4</t>
  </si>
  <si>
    <t>C1, Image 5</t>
  </si>
  <si>
    <t>C1, Image 6</t>
  </si>
  <si>
    <t>C1, Image 7</t>
  </si>
  <si>
    <t>C1, Image 8</t>
  </si>
  <si>
    <t>C1, Image 9</t>
  </si>
  <si>
    <t>C2, Image 1</t>
  </si>
  <si>
    <t>C2, Image 2</t>
  </si>
  <si>
    <t>C2, Image 3</t>
  </si>
  <si>
    <t>C2, Image 4</t>
  </si>
  <si>
    <t>C2, Image 5</t>
  </si>
  <si>
    <t>C2, Image 6</t>
  </si>
  <si>
    <t>C2, Image 7</t>
  </si>
  <si>
    <t>C2, Image 8</t>
  </si>
  <si>
    <t>C2, Image 9</t>
  </si>
  <si>
    <t>P6 (C3), Image 1</t>
  </si>
  <si>
    <t>P6 (C3), Image 2</t>
  </si>
  <si>
    <t>P6 (C3), Image 3</t>
  </si>
  <si>
    <t>P6 (C3), Image 4</t>
  </si>
  <si>
    <t>P6 (C3), Image 5</t>
  </si>
  <si>
    <t>P6 (C3), Image 6</t>
  </si>
  <si>
    <t>P6 (C3), Image 7</t>
  </si>
  <si>
    <t>P6 (C3), Image 8</t>
  </si>
  <si>
    <t>P6 (C3), Image 9</t>
  </si>
  <si>
    <t>P6 (C4), Image 1</t>
  </si>
  <si>
    <t>P6 (C4), Image 2</t>
  </si>
  <si>
    <t>P6 (C4), Image 3</t>
  </si>
  <si>
    <t>P6 (C4), Image 4</t>
  </si>
  <si>
    <t>P6 (C4), Image 5</t>
  </si>
  <si>
    <t>P6 (C4), Image 6</t>
  </si>
  <si>
    <t>P6 (C4), Image 7</t>
  </si>
  <si>
    <t>P6 (C4), Image 8</t>
  </si>
  <si>
    <t>P6 (C4), Image 9</t>
  </si>
  <si>
    <t>Vessel_Name</t>
  </si>
  <si>
    <t>AS_MRC-5_20240313</t>
  </si>
  <si>
    <t>Plate_Number</t>
  </si>
  <si>
    <t>P20 LIN1-0B-A (A1), Image 1</t>
  </si>
  <si>
    <t>P20 LIN1-0B-A (B1), Image 1</t>
  </si>
  <si>
    <t>P17 LIN2-0A-A (B2), Image 1</t>
  </si>
  <si>
    <t>P17 LIN2-0A-A (B2), Image 2</t>
  </si>
  <si>
    <t>P17 LIN2-0A-A (B2), Image 3</t>
  </si>
  <si>
    <t>P17 LIN2-0A-A (B2), Image 4</t>
  </si>
  <si>
    <t>P17 LIN2-0A-A (B2), Image 5</t>
  </si>
  <si>
    <t>P17 LIN2-0A-A (B2), Image 6</t>
  </si>
  <si>
    <t>P17 LIN2-0A-A (B2), Image 7</t>
  </si>
  <si>
    <t>P17 LIN2-0A-A (B2), Image 8</t>
  </si>
  <si>
    <t>P17 LIN2-0A-A (B2), Image 9</t>
  </si>
  <si>
    <t>P14 LIN3-0A-B (A3), Image 1</t>
  </si>
  <si>
    <t>P14 LIN3-0A-B (A3), Image 2</t>
  </si>
  <si>
    <t>P14 LIN3-0A-B (A3), Image 3</t>
  </si>
  <si>
    <t>P14 LIN3-0A-B (A3), Image 4</t>
  </si>
  <si>
    <t>P14 LIN3-0A-B (A3), Image 5</t>
  </si>
  <si>
    <t>P14 LIN3-0A-B (A3), Image 6</t>
  </si>
  <si>
    <t>P14 LIN3-0A-B (A3), Image 7</t>
  </si>
  <si>
    <t>P14 LIN3-0A-B (A3), Image 8</t>
  </si>
  <si>
    <t>P14 LIN3-0A-B (A3), Image 9</t>
  </si>
  <si>
    <t>P14 LIN3-0A-B (B3), Image 1</t>
  </si>
  <si>
    <t>P14 LIN3-0A-B (B3), Image 2</t>
  </si>
  <si>
    <t>P14 LIN3-0A-B (B3), Image 3</t>
  </si>
  <si>
    <t>P14 LIN3-0A-B (B3), Image 4</t>
  </si>
  <si>
    <t>P14 LIN3-0A-B (B3), Image 5</t>
  </si>
  <si>
    <t>P14 LIN3-0A-B (B3), Image 6</t>
  </si>
  <si>
    <t>P14 LIN3-0A-B (B3), Image 7</t>
  </si>
  <si>
    <t>P14 LIN3-0A-B (B3), Image 8</t>
  </si>
  <si>
    <t>P14 LIN3-0A-B (B3), Image 9</t>
  </si>
  <si>
    <t>P12 LIN4-0B-B (A4), Image 1</t>
  </si>
  <si>
    <t>P12 LIN4-0B-B (A4), Image 2</t>
  </si>
  <si>
    <t>P12 LIN4-0B-B (A4), Image 3</t>
  </si>
  <si>
    <t>P12 LIN4-0B-B (A4), Image 4</t>
  </si>
  <si>
    <t>P12 LIN4-0B-B (A4), Image 5</t>
  </si>
  <si>
    <t>P12 LIN4-0B-B (A4), Image 6</t>
  </si>
  <si>
    <t>P12 LIN4-0B-B (A4), Image 7</t>
  </si>
  <si>
    <t>P12 LIN4-0B-B (A4), Image 8</t>
  </si>
  <si>
    <t>P12 LIN4-0B-B (A4), Image 9</t>
  </si>
  <si>
    <t>P12 LIN4-0B-B (B4), Image 1</t>
  </si>
  <si>
    <t>P12 LIN4-0B-B (B4), Image 2</t>
  </si>
  <si>
    <t>P12 LIN4-0B-B (B4), Image 3</t>
  </si>
  <si>
    <t>P12 LIN4-0B-B (B4), Image 4</t>
  </si>
  <si>
    <t>P12 LIN4-0B-B (B4), Image 5</t>
  </si>
  <si>
    <t>P12 LIN4-0B-B (B4), Image 6</t>
  </si>
  <si>
    <t>P12 LIN4-0B-B (B4), Image 7</t>
  </si>
  <si>
    <t>P12 LIN4-0B-B (B4), Image 8</t>
  </si>
  <si>
    <t>P12 LIN4-0B-B (B4), Image 9</t>
  </si>
  <si>
    <t>P10 LIN5-0B-C (C3), Image 1</t>
  </si>
  <si>
    <t>P10 LIN5-0B-C (C3), Image 2</t>
  </si>
  <si>
    <t>P10 LIN5-0B-C (C3), Image 3</t>
  </si>
  <si>
    <t>P10 LIN5-0B-C (C3), Image 4</t>
  </si>
  <si>
    <t>P10 LIN5-0B-C (C3), Image 5</t>
  </si>
  <si>
    <t>P10 LIN5-0B-C (C3), Image 6</t>
  </si>
  <si>
    <t>P10 LIN5-0B-C (C3), Image 7</t>
  </si>
  <si>
    <t>P10 LIN5-0B-C (C3), Image 8</t>
  </si>
  <si>
    <t>P10 LIN5-0B-C (C3), Image 9</t>
  </si>
  <si>
    <t>P10 LIN5-0B-C (C4), Image 1</t>
  </si>
  <si>
    <t>P10 LIN5-0B-C (C4), Image 2</t>
  </si>
  <si>
    <t>P10 LIN5-0B-C (C4), Image 3</t>
  </si>
  <si>
    <t>P10 LIN5-0B-C (C4), Image 4</t>
  </si>
  <si>
    <t>P10 LIN5-0B-C (C4), Image 5</t>
  </si>
  <si>
    <t>P10 LIN5-0B-C (C4), Image 6</t>
  </si>
  <si>
    <t>P10 LIN5-0B-C (C4), Image 7</t>
  </si>
  <si>
    <t>P10 LIN5-0B-C (C4), Image 8</t>
  </si>
  <si>
    <t>P10 LIN5-0B-C (C4), Image 9</t>
  </si>
  <si>
    <t>slope</t>
  </si>
  <si>
    <t>z.test</t>
  </si>
  <si>
    <t>z.score</t>
  </si>
  <si>
    <t>q3</t>
  </si>
  <si>
    <t>q1</t>
  </si>
  <si>
    <t>min</t>
  </si>
  <si>
    <t>max</t>
  </si>
  <si>
    <t>1.5*iqr</t>
  </si>
  <si>
    <t>mean</t>
  </si>
  <si>
    <t>stdev</t>
  </si>
  <si>
    <t>sem</t>
  </si>
  <si>
    <t>95 ci</t>
  </si>
  <si>
    <t>P17 LIN2-0A-A (A2)</t>
  </si>
  <si>
    <t>P20 LIN1-0B-b1 (A1), Image 1</t>
  </si>
  <si>
    <t>P20 LIN1-0B-b1 (A1), Image 2</t>
  </si>
  <si>
    <t>P20 LIN1-0B-b1 (A1), Image 3</t>
  </si>
  <si>
    <t>P20 LIN1-0B-b1 (A1), Image 4</t>
  </si>
  <si>
    <t>P20 LIN1-0B-b1 (A1), Image 5</t>
  </si>
  <si>
    <t>P20 LIN1-0B-b1 (A1), Image 6</t>
  </si>
  <si>
    <t>P20 LIN1-0B-b1 (A1), Image 7</t>
  </si>
  <si>
    <t>P20 LIN1-0B-b1 (A1), Image 8</t>
  </si>
  <si>
    <t>P20 LIN1-0B-b1 (A1), Image 9</t>
  </si>
  <si>
    <t>P20 LIN1-0B-b1 (B1), Image 1</t>
  </si>
  <si>
    <t>P20 LIN1-0B-b1 (B1), Image 2</t>
  </si>
  <si>
    <t>P20 LIN1-0B-b1 (B1), Image 3</t>
  </si>
  <si>
    <t>P20 LIN1-0B-b1 (B1), Image 4</t>
  </si>
  <si>
    <t>P20 LIN1-0B-b1 (B1), Image 5</t>
  </si>
  <si>
    <t>P20 LIN1-0B-b1 (B1), Image 6</t>
  </si>
  <si>
    <t>P20 LIN1-0B-b1 (B1), Image 7</t>
  </si>
  <si>
    <t>P20 LIN1-0B-b1 (B1), Image 8</t>
  </si>
  <si>
    <t>P20 LIN1-0B-b1 (B1), Image 9</t>
  </si>
  <si>
    <t>P17 LIN2-0A-b1 (A2), Image 1</t>
  </si>
  <si>
    <t>P17 LIN2-0A-b1 (A2), Image 2</t>
  </si>
  <si>
    <t>P17 LIN2-0A-b1 (A2), Image 3</t>
  </si>
  <si>
    <t>P17 LIN2-0A-b1 (A2), Image 4</t>
  </si>
  <si>
    <t>P17 LIN2-0A-b1 (A2), Image 5</t>
  </si>
  <si>
    <t>P17 LIN2-0A-b1 (A2), Image 6</t>
  </si>
  <si>
    <t>P17 LIN2-0A-b1 (A2), Image 7</t>
  </si>
  <si>
    <t>P17 LIN2-0A-b1 (A2), Image 8</t>
  </si>
  <si>
    <t>P17 LIN2-0A-b1 (A2), Image 9</t>
  </si>
  <si>
    <t>P17 LIN2-0A-b1 (B2), Image 1</t>
  </si>
  <si>
    <t>P17 LIN2-0A-b1 (B2), Image 2</t>
  </si>
  <si>
    <t>P17 LIN2-0A-b1 (B2), Image 3</t>
  </si>
  <si>
    <t>P17 LIN2-0A-b1 (B2), Image 4</t>
  </si>
  <si>
    <t>P17 LIN2-0A-b1 (B2), Image 5</t>
  </si>
  <si>
    <t>P17 LIN2-0A-b1 (B2), Image 6</t>
  </si>
  <si>
    <t>P17 LIN2-0A-b1 (B2), Image 7</t>
  </si>
  <si>
    <t>P17 LIN2-0A-b1 (B2), Image 8</t>
  </si>
  <si>
    <t>P17 LIN2-0A-b1 (B2), Image 9</t>
  </si>
  <si>
    <t>P14 LIN3-0A-b2 (A3), Image 1</t>
  </si>
  <si>
    <t>P14 LIN3-0A-b2 (A3), Image 2</t>
  </si>
  <si>
    <t>P14 LIN3-0A-b2 (A3), Image 3</t>
  </si>
  <si>
    <t>P14 LIN3-0A-b2 (A3), Image 4</t>
  </si>
  <si>
    <t>P14 LIN3-0A-b2 (A3), Image 5</t>
  </si>
  <si>
    <t>P14 LIN3-0A-b2 (A3), Image 6</t>
  </si>
  <si>
    <t>P14 LIN3-0A-b2 (A3), Image 7</t>
  </si>
  <si>
    <t>P14 LIN3-0A-b2 (A3), Image 8</t>
  </si>
  <si>
    <t>P14 LIN3-0A-b2 (A3), Image 9</t>
  </si>
  <si>
    <t>P14 LIN3-0A-b2 (B3), Image 1</t>
  </si>
  <si>
    <t>P14 LIN3-0A-b2 (B3), Image 2</t>
  </si>
  <si>
    <t>P14 LIN3-0A-b2 (B3), Image 3</t>
  </si>
  <si>
    <t>P14 LIN3-0A-b2 (B3), Image 4</t>
  </si>
  <si>
    <t>P14 LIN3-0A-b2 (B3), Image 5</t>
  </si>
  <si>
    <t>P14 LIN3-0A-b2 (B3), Image 6</t>
  </si>
  <si>
    <t>P14 LIN3-0A-b2 (B3), Image 7</t>
  </si>
  <si>
    <t>P14 LIN3-0A-b2 (B3), Image 8</t>
  </si>
  <si>
    <t>P14 LIN3-0A-b2 (B3), Image 9</t>
  </si>
  <si>
    <t>P12 LIN4-0B-b2 (A4), Image 1</t>
  </si>
  <si>
    <t>P12 LIN4-0B-b2 (A4), Image 2</t>
  </si>
  <si>
    <t>P12 LIN4-0B-b2 (A4), Image 3</t>
  </si>
  <si>
    <t>P12 LIN4-0B-b2 (A4), Image 4</t>
  </si>
  <si>
    <t>P12 LIN4-0B-b2 (A4), Image 5</t>
  </si>
  <si>
    <t>P12 LIN4-0B-b2 (A4), Image 6</t>
  </si>
  <si>
    <t>P12 LIN4-0B-b2 (A4), Image 7</t>
  </si>
  <si>
    <t>P12 LIN4-0B-b2 (A4), Image 8</t>
  </si>
  <si>
    <t>P12 LIN4-0B-b2 (A4), Image 9</t>
  </si>
  <si>
    <t>P12 LIN4-0B-b2 (B4), Image 1</t>
  </si>
  <si>
    <t>P12 LIN4-0B-b2 (B4), Image 2</t>
  </si>
  <si>
    <t>P12 LIN4-0B-b2 (B4), Image 3</t>
  </si>
  <si>
    <t>P12 LIN4-0B-b2 (B4), Image 4</t>
  </si>
  <si>
    <t>P12 LIN4-0B-b2 (B4), Image 5</t>
  </si>
  <si>
    <t>P12 LIN4-0B-b2 (B4), Image 6</t>
  </si>
  <si>
    <t>P12 LIN4-0B-b2 (B4), Image 7</t>
  </si>
  <si>
    <t>P12 LIN4-0B-b2 (B4), Image 8</t>
  </si>
  <si>
    <t>P12 LIN4-0B-b2 (B4), Image 9</t>
  </si>
  <si>
    <t>P10 LIN5-0B-b3 (C3), Image 1</t>
  </si>
  <si>
    <t>P10 LIN5-0B-b3 (C3), Image 2</t>
  </si>
  <si>
    <t>P10 LIN5-0B-b3 (C3), Image 3</t>
  </si>
  <si>
    <t>P10 LIN5-0B-b3 (C3), Image 4</t>
  </si>
  <si>
    <t>P10 LIN5-0B-b3 (C3), Image 5</t>
  </si>
  <si>
    <t>P10 LIN5-0B-b3 (C3), Image 6</t>
  </si>
  <si>
    <t>P10 LIN5-0B-b3 (C3), Image 7</t>
  </si>
  <si>
    <t>P10 LIN5-0B-b3 (C3), Image 8</t>
  </si>
  <si>
    <t>P10 LIN5-0B-b3 (C3), Image 9</t>
  </si>
  <si>
    <t>P10 LIN5-0B-b3 (C4), Image 1</t>
  </si>
  <si>
    <t>P10 LIN5-0B-b3 (C4), Image 2</t>
  </si>
  <si>
    <t>P10 LIN5-0B-b3 (C4), Image 3</t>
  </si>
  <si>
    <t>P10 LIN5-0B-b3 (C4), Image 4</t>
  </si>
  <si>
    <t>P10 LIN5-0B-b3 (C4), Image 5</t>
  </si>
  <si>
    <t>P10 LIN5-0B-b3 (C4), Image 6</t>
  </si>
  <si>
    <t>P10 LIN5-0B-b3 (C4), Image 7</t>
  </si>
  <si>
    <t>P10 LIN5-0B-b3 (C4), Image 8</t>
  </si>
  <si>
    <t>P10 LIN5-0B-b3 (C4), Image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</si>
</sst>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8" fillId="0" borderId="0" xfId="0" applyFont="1" applyAlignment="1">
      <alignment wrapText="1"/>
    </xf>
    <xf numFmtId="0" fontId="19" fillId="0" borderId="0" xfId="0" applyFont="1"/>
    <xf numFmtId="22" fontId="19" fillId="0" borderId="0" xfId="0" applyNumberFormat="1" applyFont="1"/>
    <xf numFmtId="0" fontId="22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BB1E-FC14-134D-A6C1-8EBDFAAC8C8C}">
  <dimension ref="A1:DG32"/>
  <sheetViews>
    <sheetView tabSelected="1" workbookViewId="0">
      <selection activeCell="E1" sqref="E1"/>
    </sheetView>
  </sheetViews>
  <sheetFormatPr baseColWidth="10" defaultRowHeight="16" x14ac:dyDescent="0.2"/>
  <cols>
    <col min="1" max="1" width="9.83203125" style="3" bestFit="1" customWidth="1"/>
    <col min="2" max="2" width="22.33203125" style="3" bestFit="1" customWidth="1"/>
    <col min="3" max="3" width="8.83203125" style="3" bestFit="1" customWidth="1"/>
    <col min="4" max="4" width="14.1640625" style="3" bestFit="1" customWidth="1"/>
    <col min="5" max="75" width="10.5" style="3" bestFit="1" customWidth="1"/>
    <col min="76" max="93" width="10.6640625" style="3" bestFit="1" customWidth="1"/>
    <col min="94" max="111" width="10.5" style="3" bestFit="1" customWidth="1"/>
    <col min="112" max="16384" width="10.83203125" style="3"/>
  </cols>
  <sheetData>
    <row r="1" spans="1:111" s="2" customFormat="1" ht="51" x14ac:dyDescent="0.2">
      <c r="A1" s="2" t="s">
        <v>118</v>
      </c>
      <c r="B1" s="2" t="s">
        <v>116</v>
      </c>
      <c r="C1" s="2" t="s">
        <v>7</v>
      </c>
      <c r="D1" s="5" t="s">
        <v>197</v>
      </c>
      <c r="E1" s="5" t="s">
        <v>198</v>
      </c>
      <c r="F1" s="5" t="s">
        <v>199</v>
      </c>
      <c r="G1" s="5" t="s">
        <v>200</v>
      </c>
      <c r="H1" s="5" t="s">
        <v>201</v>
      </c>
      <c r="I1" s="5" t="s">
        <v>202</v>
      </c>
      <c r="J1" s="5" t="s">
        <v>203</v>
      </c>
      <c r="K1" s="5" t="s">
        <v>204</v>
      </c>
      <c r="L1" s="5" t="s">
        <v>205</v>
      </c>
      <c r="M1" s="5" t="s">
        <v>206</v>
      </c>
      <c r="N1" s="5" t="s">
        <v>207</v>
      </c>
      <c r="O1" s="5" t="s">
        <v>208</v>
      </c>
      <c r="P1" s="5" t="s">
        <v>209</v>
      </c>
      <c r="Q1" s="5" t="s">
        <v>210</v>
      </c>
      <c r="R1" s="5" t="s">
        <v>211</v>
      </c>
      <c r="S1" s="5" t="s">
        <v>212</v>
      </c>
      <c r="T1" s="5" t="s">
        <v>213</v>
      </c>
      <c r="U1" s="5" t="s">
        <v>214</v>
      </c>
      <c r="V1" s="5" t="s">
        <v>215</v>
      </c>
      <c r="W1" s="5" t="s">
        <v>216</v>
      </c>
      <c r="X1" s="5" t="s">
        <v>217</v>
      </c>
      <c r="Y1" s="5" t="s">
        <v>218</v>
      </c>
      <c r="Z1" s="5" t="s">
        <v>219</v>
      </c>
      <c r="AA1" s="5" t="s">
        <v>220</v>
      </c>
      <c r="AB1" s="5" t="s">
        <v>221</v>
      </c>
      <c r="AC1" s="5" t="s">
        <v>222</v>
      </c>
      <c r="AD1" s="5" t="s">
        <v>223</v>
      </c>
      <c r="AE1" s="5" t="s">
        <v>224</v>
      </c>
      <c r="AF1" s="5" t="s">
        <v>225</v>
      </c>
      <c r="AG1" s="5" t="s">
        <v>226</v>
      </c>
      <c r="AH1" s="5" t="s">
        <v>227</v>
      </c>
      <c r="AI1" s="5" t="s">
        <v>228</v>
      </c>
      <c r="AJ1" s="5" t="s">
        <v>229</v>
      </c>
      <c r="AK1" s="5" t="s">
        <v>230</v>
      </c>
      <c r="AL1" s="5" t="s">
        <v>231</v>
      </c>
      <c r="AM1" s="5" t="s">
        <v>232</v>
      </c>
      <c r="AN1" s="5" t="s">
        <v>233</v>
      </c>
      <c r="AO1" s="5" t="s">
        <v>234</v>
      </c>
      <c r="AP1" s="5" t="s">
        <v>235</v>
      </c>
      <c r="AQ1" s="5" t="s">
        <v>236</v>
      </c>
      <c r="AR1" s="5" t="s">
        <v>237</v>
      </c>
      <c r="AS1" s="5" t="s">
        <v>238</v>
      </c>
      <c r="AT1" s="5" t="s">
        <v>239</v>
      </c>
      <c r="AU1" s="5" t="s">
        <v>240</v>
      </c>
      <c r="AV1" s="5" t="s">
        <v>241</v>
      </c>
      <c r="AW1" s="5" t="s">
        <v>242</v>
      </c>
      <c r="AX1" s="5" t="s">
        <v>243</v>
      </c>
      <c r="AY1" s="5" t="s">
        <v>244</v>
      </c>
      <c r="AZ1" s="5" t="s">
        <v>245</v>
      </c>
      <c r="BA1" s="5" t="s">
        <v>246</v>
      </c>
      <c r="BB1" s="5" t="s">
        <v>247</v>
      </c>
      <c r="BC1" s="5" t="s">
        <v>248</v>
      </c>
      <c r="BD1" s="5" t="s">
        <v>249</v>
      </c>
      <c r="BE1" s="5" t="s">
        <v>250</v>
      </c>
      <c r="BF1" s="5" t="s">
        <v>251</v>
      </c>
      <c r="BG1" s="5" t="s">
        <v>252</v>
      </c>
      <c r="BH1" s="5" t="s">
        <v>253</v>
      </c>
      <c r="BI1" s="5" t="s">
        <v>254</v>
      </c>
      <c r="BJ1" s="5" t="s">
        <v>255</v>
      </c>
      <c r="BK1" s="5" t="s">
        <v>256</v>
      </c>
      <c r="BL1" s="5" t="s">
        <v>257</v>
      </c>
      <c r="BM1" s="5" t="s">
        <v>258</v>
      </c>
      <c r="BN1" s="5" t="s">
        <v>259</v>
      </c>
      <c r="BO1" s="5" t="s">
        <v>260</v>
      </c>
      <c r="BP1" s="5" t="s">
        <v>261</v>
      </c>
      <c r="BQ1" s="5" t="s">
        <v>262</v>
      </c>
      <c r="BR1" s="5" t="s">
        <v>263</v>
      </c>
      <c r="BS1" s="5" t="s">
        <v>264</v>
      </c>
      <c r="BT1" s="5" t="s">
        <v>265</v>
      </c>
      <c r="BU1" s="5" t="s">
        <v>266</v>
      </c>
      <c r="BV1" s="5" t="s">
        <v>267</v>
      </c>
      <c r="BW1" s="5" t="s">
        <v>268</v>
      </c>
      <c r="BX1" s="5" t="s">
        <v>80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85</v>
      </c>
      <c r="CD1" s="5" t="s">
        <v>86</v>
      </c>
      <c r="CE1" s="5" t="s">
        <v>87</v>
      </c>
      <c r="CF1" s="5" t="s">
        <v>88</v>
      </c>
      <c r="CG1" s="5" t="s">
        <v>89</v>
      </c>
      <c r="CH1" s="5" t="s">
        <v>90</v>
      </c>
      <c r="CI1" s="5" t="s">
        <v>91</v>
      </c>
      <c r="CJ1" s="5" t="s">
        <v>92</v>
      </c>
      <c r="CK1" s="5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5" t="s">
        <v>269</v>
      </c>
      <c r="CQ1" s="5" t="s">
        <v>270</v>
      </c>
      <c r="CR1" s="5" t="s">
        <v>271</v>
      </c>
      <c r="CS1" s="5" t="s">
        <v>272</v>
      </c>
      <c r="CT1" s="5" t="s">
        <v>273</v>
      </c>
      <c r="CU1" s="5" t="s">
        <v>274</v>
      </c>
      <c r="CV1" s="5" t="s">
        <v>275</v>
      </c>
      <c r="CW1" s="5" t="s">
        <v>276</v>
      </c>
      <c r="CX1" s="5" t="s">
        <v>277</v>
      </c>
      <c r="CY1" s="5" t="s">
        <v>278</v>
      </c>
      <c r="CZ1" s="5" t="s">
        <v>279</v>
      </c>
      <c r="DA1" s="5" t="s">
        <v>280</v>
      </c>
      <c r="DB1" s="5" t="s">
        <v>281</v>
      </c>
      <c r="DC1" s="5" t="s">
        <v>282</v>
      </c>
      <c r="DD1" s="5" t="s">
        <v>283</v>
      </c>
      <c r="DE1" s="5" t="s">
        <v>284</v>
      </c>
      <c r="DF1" s="5" t="s">
        <v>285</v>
      </c>
      <c r="DG1" s="5" t="s">
        <v>286</v>
      </c>
    </row>
    <row r="2" spans="1:111" x14ac:dyDescent="0.2">
      <c r="A2" s="3">
        <v>1</v>
      </c>
      <c r="B2" s="4" t="s">
        <v>117</v>
      </c>
      <c r="C2" s="3">
        <v>0</v>
      </c>
      <c r="D2" s="3">
        <v>15.90103</v>
      </c>
      <c r="E2" s="3">
        <v>19.931509999999999</v>
      </c>
      <c r="F2" s="3">
        <v>20.285450000000001</v>
      </c>
      <c r="G2" s="3">
        <v>20.816759999999999</v>
      </c>
      <c r="H2" s="3">
        <v>47.85163</v>
      </c>
      <c r="I2" s="3">
        <v>21.158760000000001</v>
      </c>
      <c r="J2" s="3">
        <v>26.945550000000001</v>
      </c>
      <c r="K2" s="3">
        <v>30.419979999999999</v>
      </c>
      <c r="L2" s="3">
        <v>17.481629999999999</v>
      </c>
      <c r="M2" s="3">
        <v>20.070270000000001</v>
      </c>
      <c r="N2" s="3">
        <v>20.81615</v>
      </c>
      <c r="O2" s="3">
        <v>26.13814</v>
      </c>
      <c r="P2" s="3">
        <v>22.399609999999999</v>
      </c>
      <c r="Q2" s="3">
        <v>50.692959999999999</v>
      </c>
      <c r="R2" s="3">
        <v>19.772939999999998</v>
      </c>
      <c r="S2" s="3">
        <v>23.766190000000002</v>
      </c>
      <c r="T2" s="3">
        <v>24.178039999999999</v>
      </c>
      <c r="U2" s="3">
        <v>17.18272</v>
      </c>
      <c r="V2" s="3">
        <v>23.498139999999999</v>
      </c>
      <c r="W2" s="3">
        <v>26.788810000000002</v>
      </c>
      <c r="X2" s="3">
        <v>27.144749999999998</v>
      </c>
      <c r="Y2" s="3">
        <v>29.048770000000001</v>
      </c>
      <c r="Z2" s="3">
        <v>73.499080000000006</v>
      </c>
      <c r="AA2" s="3">
        <v>25.321169999999999</v>
      </c>
      <c r="AB2" s="3">
        <v>22.792280000000002</v>
      </c>
      <c r="AC2" s="3">
        <v>29.01407</v>
      </c>
      <c r="AD2" s="3">
        <v>25.156659999999999</v>
      </c>
      <c r="AE2" s="3">
        <v>12.608169999999999</v>
      </c>
      <c r="AF2" s="3">
        <v>11.771129999999999</v>
      </c>
      <c r="AG2" s="3">
        <v>15.2356</v>
      </c>
      <c r="AH2" s="3">
        <v>14.961819999999999</v>
      </c>
      <c r="AI2" s="3">
        <v>38.460380000000001</v>
      </c>
      <c r="AJ2" s="3">
        <v>18.085049999999999</v>
      </c>
      <c r="AK2" s="3">
        <v>18.655069999999998</v>
      </c>
      <c r="AL2" s="3">
        <v>14.740080000000001</v>
      </c>
      <c r="AM2" s="3">
        <v>8.9908629999999992</v>
      </c>
      <c r="AN2" s="3">
        <v>17.667719999999999</v>
      </c>
      <c r="AO2" s="3">
        <v>18.494319999999998</v>
      </c>
      <c r="AP2" s="3">
        <v>21.869669999999999</v>
      </c>
      <c r="AQ2" s="3">
        <v>26.642610000000001</v>
      </c>
      <c r="AR2" s="3">
        <v>39.868679999999998</v>
      </c>
      <c r="AS2" s="3">
        <v>28.024609999999999</v>
      </c>
      <c r="AT2" s="3">
        <v>23.292590000000001</v>
      </c>
      <c r="AU2" s="3">
        <v>24.987909999999999</v>
      </c>
      <c r="AV2" s="3">
        <v>30.37547</v>
      </c>
      <c r="AW2" s="3">
        <v>22.458480000000002</v>
      </c>
      <c r="AX2" s="3">
        <v>21.506979999999999</v>
      </c>
      <c r="AY2" s="3">
        <v>23.032869999999999</v>
      </c>
      <c r="AZ2" s="3">
        <v>19.969200000000001</v>
      </c>
      <c r="BA2" s="3">
        <v>29.57639</v>
      </c>
      <c r="BB2" s="3">
        <v>17.918900000000001</v>
      </c>
      <c r="BC2" s="3">
        <v>21.106179999999998</v>
      </c>
      <c r="BD2" s="3">
        <v>18.7149</v>
      </c>
      <c r="BE2" s="3">
        <v>14.795529999999999</v>
      </c>
      <c r="BF2" s="3">
        <v>22.847390000000001</v>
      </c>
      <c r="BG2" s="3">
        <v>26.550550000000001</v>
      </c>
      <c r="BH2" s="3">
        <v>22.749189999999999</v>
      </c>
      <c r="BI2" s="3">
        <v>26.705159999999999</v>
      </c>
      <c r="BJ2" s="3">
        <v>48.287260000000003</v>
      </c>
      <c r="BK2" s="3">
        <v>28.017099999999999</v>
      </c>
      <c r="BL2" s="3">
        <v>28.34496</v>
      </c>
      <c r="BM2" s="3">
        <v>28.615459999999999</v>
      </c>
      <c r="BN2" s="3">
        <v>28.15812</v>
      </c>
      <c r="BO2" s="3">
        <v>11.771879999999999</v>
      </c>
      <c r="BP2" s="3">
        <v>12.697979999999999</v>
      </c>
      <c r="BQ2" s="3">
        <v>13.96368</v>
      </c>
      <c r="BR2" s="3">
        <v>15.91981</v>
      </c>
      <c r="BS2" s="3">
        <v>25.963930000000001</v>
      </c>
      <c r="BT2" s="3">
        <v>12.34211</v>
      </c>
      <c r="BU2" s="3">
        <v>16.214490000000001</v>
      </c>
      <c r="BV2" s="3">
        <v>13.91212</v>
      </c>
      <c r="BW2" s="3">
        <v>8.7351100000000006</v>
      </c>
      <c r="BX2" s="3">
        <v>23.25844</v>
      </c>
      <c r="BY2" s="3">
        <v>23.44248</v>
      </c>
      <c r="BZ2" s="3">
        <v>21.906410000000001</v>
      </c>
      <c r="CA2" s="3">
        <v>14.891209999999999</v>
      </c>
      <c r="CB2" s="3">
        <v>42.452669999999998</v>
      </c>
      <c r="CC2" s="3">
        <v>22.45431</v>
      </c>
      <c r="CD2" s="3">
        <v>17.699000000000002</v>
      </c>
      <c r="CE2" s="3">
        <v>25.678740000000001</v>
      </c>
      <c r="CF2" s="3">
        <v>16.62499</v>
      </c>
      <c r="CG2" s="3">
        <v>30.942900000000002</v>
      </c>
      <c r="CH2" s="3">
        <v>26.478840000000002</v>
      </c>
      <c r="CI2" s="3">
        <v>27.425219999999999</v>
      </c>
      <c r="CJ2" s="3">
        <v>30.40127</v>
      </c>
      <c r="CK2" s="3">
        <v>70.098479999999995</v>
      </c>
      <c r="CL2" s="3">
        <v>29.156189999999999</v>
      </c>
      <c r="CM2" s="3">
        <v>35.371839999999999</v>
      </c>
      <c r="CN2" s="3">
        <v>27.483470000000001</v>
      </c>
      <c r="CO2" s="3">
        <v>22.273340000000001</v>
      </c>
      <c r="CP2" s="3">
        <v>24.56485</v>
      </c>
      <c r="CQ2" s="3">
        <v>26.320340000000002</v>
      </c>
      <c r="CR2" s="3">
        <v>28.644760000000002</v>
      </c>
      <c r="CS2" s="3">
        <v>29.662569999999999</v>
      </c>
      <c r="CT2" s="3">
        <v>44.712420000000002</v>
      </c>
      <c r="CU2" s="3">
        <v>28.83201</v>
      </c>
      <c r="CV2" s="3">
        <v>24.742059999999999</v>
      </c>
      <c r="CW2" s="3">
        <v>21.565639999999998</v>
      </c>
      <c r="CX2" s="3">
        <v>17.59704</v>
      </c>
      <c r="CY2" s="3">
        <v>17.477119999999999</v>
      </c>
      <c r="CZ2" s="3">
        <v>24.421500000000002</v>
      </c>
      <c r="DA2" s="3">
        <v>33.825249999999997</v>
      </c>
      <c r="DB2" s="3">
        <v>26.851030000000002</v>
      </c>
      <c r="DC2" s="3">
        <v>35.824199999999998</v>
      </c>
      <c r="DD2" s="3">
        <v>23.74823</v>
      </c>
      <c r="DE2" s="3">
        <v>26.888860000000001</v>
      </c>
      <c r="DF2" s="3">
        <v>25.711939999999998</v>
      </c>
      <c r="DG2" s="3">
        <v>20.376629999999999</v>
      </c>
    </row>
    <row r="3" spans="1:111" x14ac:dyDescent="0.2">
      <c r="A3" s="3">
        <v>1</v>
      </c>
      <c r="B3" s="4" t="s">
        <v>117</v>
      </c>
      <c r="C3" s="3">
        <v>4</v>
      </c>
      <c r="D3" s="3">
        <v>13.70022</v>
      </c>
      <c r="E3" s="3">
        <v>17.716069999999998</v>
      </c>
      <c r="F3" s="3">
        <v>17.29635</v>
      </c>
      <c r="G3" s="3">
        <v>18.042100000000001</v>
      </c>
      <c r="H3" s="3">
        <v>49.066319999999997</v>
      </c>
      <c r="I3" s="3">
        <v>21.104469999999999</v>
      </c>
      <c r="J3" s="3">
        <v>25.140339999999998</v>
      </c>
      <c r="K3" s="3">
        <v>30.41958</v>
      </c>
      <c r="L3" s="3">
        <v>16.754940000000001</v>
      </c>
      <c r="M3" s="3">
        <v>13.885899999999999</v>
      </c>
      <c r="N3" s="3">
        <v>16.50131</v>
      </c>
      <c r="O3" s="3">
        <v>23.56493</v>
      </c>
      <c r="P3" s="3">
        <v>16.367190000000001</v>
      </c>
      <c r="Q3" s="3">
        <v>47.052900000000001</v>
      </c>
      <c r="R3" s="3">
        <v>19.506119999999999</v>
      </c>
      <c r="S3" s="3">
        <v>19.66264</v>
      </c>
      <c r="T3" s="3">
        <v>19.620709999999999</v>
      </c>
      <c r="U3" s="3">
        <v>15.061730000000001</v>
      </c>
      <c r="V3" s="3">
        <v>26.046489999999999</v>
      </c>
      <c r="W3" s="3">
        <v>34.123550000000002</v>
      </c>
      <c r="X3" s="3">
        <v>32.870539999999998</v>
      </c>
      <c r="Y3" s="3">
        <v>33.62585</v>
      </c>
      <c r="Z3" s="3">
        <v>88.875370000000004</v>
      </c>
      <c r="AA3" s="3">
        <v>31.932700000000001</v>
      </c>
      <c r="AB3" s="3">
        <v>30.240449999999999</v>
      </c>
      <c r="AC3" s="3">
        <v>36.379890000000003</v>
      </c>
      <c r="AD3" s="3">
        <v>32.001959999999997</v>
      </c>
      <c r="AE3" s="3">
        <v>11.09976</v>
      </c>
      <c r="AF3" s="3">
        <v>10.27009</v>
      </c>
      <c r="AG3" s="3">
        <v>14.12894</v>
      </c>
      <c r="AH3" s="3">
        <v>12.36232</v>
      </c>
      <c r="AI3" s="3">
        <v>40.115139999999997</v>
      </c>
      <c r="AJ3" s="3">
        <v>16.269120000000001</v>
      </c>
      <c r="AK3" s="3">
        <v>17.138529999999999</v>
      </c>
      <c r="AL3" s="3">
        <v>13.660130000000001</v>
      </c>
      <c r="AM3" s="3">
        <v>8.4062210000000004</v>
      </c>
      <c r="AN3" s="3">
        <v>19.24333</v>
      </c>
      <c r="AO3" s="3">
        <v>19.17258</v>
      </c>
      <c r="AP3" s="3">
        <v>22.954270000000001</v>
      </c>
      <c r="AQ3" s="3">
        <v>27.71696</v>
      </c>
      <c r="AR3" s="3">
        <v>44.264780000000002</v>
      </c>
      <c r="AS3" s="3">
        <v>29.49635</v>
      </c>
      <c r="AT3" s="3">
        <v>22.32948</v>
      </c>
      <c r="AU3" s="3">
        <v>24.975819999999999</v>
      </c>
      <c r="AV3" s="3">
        <v>30.44594</v>
      </c>
      <c r="AW3" s="3">
        <v>21.582100000000001</v>
      </c>
      <c r="AX3" s="3">
        <v>21.098459999999999</v>
      </c>
      <c r="AY3" s="3">
        <v>26.489429999999999</v>
      </c>
      <c r="AZ3" s="3">
        <v>22.4636</v>
      </c>
      <c r="BA3" s="3">
        <v>36.633589999999998</v>
      </c>
      <c r="BB3" s="3">
        <v>19.315449999999998</v>
      </c>
      <c r="BC3" s="3">
        <v>21.854369999999999</v>
      </c>
      <c r="BD3" s="3">
        <v>20.11111</v>
      </c>
      <c r="BE3" s="3">
        <v>15.72443</v>
      </c>
      <c r="BF3" s="3">
        <v>29.816569999999999</v>
      </c>
      <c r="BG3" s="3">
        <v>30.108029999999999</v>
      </c>
      <c r="BH3" s="3">
        <v>25.38646</v>
      </c>
      <c r="BI3" s="3">
        <v>30.482340000000001</v>
      </c>
      <c r="BJ3" s="3">
        <v>56.892690000000002</v>
      </c>
      <c r="BK3" s="3">
        <v>33.868070000000003</v>
      </c>
      <c r="BL3" s="3">
        <v>34.944000000000003</v>
      </c>
      <c r="BM3" s="3">
        <v>35.855550000000001</v>
      </c>
      <c r="BN3" s="3">
        <v>34.747669999999999</v>
      </c>
      <c r="BO3" s="3">
        <v>12.638769999999999</v>
      </c>
      <c r="BP3" s="3">
        <v>13.046060000000001</v>
      </c>
      <c r="BQ3" s="3">
        <v>11.99943</v>
      </c>
      <c r="BR3" s="3">
        <v>15.47414</v>
      </c>
      <c r="BS3" s="3">
        <v>25.28464</v>
      </c>
      <c r="BT3" s="3">
        <v>13.669140000000001</v>
      </c>
      <c r="BU3" s="3">
        <v>17.179510000000001</v>
      </c>
      <c r="BV3" s="3">
        <v>13.415649999999999</v>
      </c>
      <c r="BW3" s="3">
        <v>8.7044490000000003</v>
      </c>
      <c r="BX3" s="3">
        <v>21.261060000000001</v>
      </c>
      <c r="BY3" s="3">
        <v>20.38345</v>
      </c>
      <c r="BZ3" s="3">
        <v>18.487010000000001</v>
      </c>
      <c r="CA3" s="3">
        <v>12.481769999999999</v>
      </c>
      <c r="CB3" s="3">
        <v>36.651209999999999</v>
      </c>
      <c r="CC3" s="3">
        <v>18.435929999999999</v>
      </c>
      <c r="CD3" s="3">
        <v>13.40649</v>
      </c>
      <c r="CE3" s="3">
        <v>19.272770000000001</v>
      </c>
      <c r="CF3" s="3">
        <v>12.53504</v>
      </c>
      <c r="CG3" s="3">
        <v>34.541890000000002</v>
      </c>
      <c r="CH3" s="3">
        <v>33.248260000000002</v>
      </c>
      <c r="CI3" s="3">
        <v>32.229559999999999</v>
      </c>
      <c r="CJ3" s="3">
        <v>33.557969999999997</v>
      </c>
      <c r="CK3" s="3">
        <v>82.525270000000006</v>
      </c>
      <c r="CL3" s="3">
        <v>27.92484</v>
      </c>
      <c r="CM3" s="3">
        <v>40.670479999999998</v>
      </c>
      <c r="CN3" s="3">
        <v>27.05959</v>
      </c>
      <c r="CO3" s="3">
        <v>25.38147</v>
      </c>
      <c r="CP3" s="3">
        <v>22.467420000000001</v>
      </c>
      <c r="CQ3" s="3">
        <v>24.93806</v>
      </c>
      <c r="CR3" s="3">
        <v>26.650189999999998</v>
      </c>
      <c r="CS3" s="3">
        <v>25.731739999999999</v>
      </c>
      <c r="CT3" s="3">
        <v>46.978400000000001</v>
      </c>
      <c r="CU3" s="3">
        <v>28.09843</v>
      </c>
      <c r="CV3" s="3">
        <v>22.16114</v>
      </c>
      <c r="CW3" s="3">
        <v>19.364409999999999</v>
      </c>
      <c r="CX3" s="3">
        <v>15.452489999999999</v>
      </c>
      <c r="CY3" s="3">
        <v>14.7967</v>
      </c>
      <c r="CZ3" s="3">
        <v>23.98847</v>
      </c>
      <c r="DA3" s="3">
        <v>32.302909999999997</v>
      </c>
      <c r="DB3" s="3">
        <v>24.502980000000001</v>
      </c>
      <c r="DC3" s="3">
        <v>36.445999999999998</v>
      </c>
      <c r="DD3" s="3">
        <v>25.454889999999999</v>
      </c>
      <c r="DE3" s="3">
        <v>23.200389999999999</v>
      </c>
      <c r="DF3" s="3">
        <v>21.779530000000001</v>
      </c>
      <c r="DG3" s="3">
        <v>18.325369999999999</v>
      </c>
    </row>
    <row r="4" spans="1:111" x14ac:dyDescent="0.2">
      <c r="A4" s="3">
        <v>1</v>
      </c>
      <c r="B4" s="4" t="s">
        <v>117</v>
      </c>
      <c r="C4" s="3">
        <v>8</v>
      </c>
      <c r="D4" s="3">
        <v>14.63772</v>
      </c>
      <c r="E4" s="3">
        <v>18.375150000000001</v>
      </c>
      <c r="F4" s="3">
        <v>17.046340000000001</v>
      </c>
      <c r="G4" s="3">
        <v>19.791509999999999</v>
      </c>
      <c r="H4" s="3">
        <v>48.511180000000003</v>
      </c>
      <c r="I4" s="3">
        <v>20.22099</v>
      </c>
      <c r="J4" s="3">
        <v>26.844000000000001</v>
      </c>
      <c r="K4" s="3">
        <v>31.502880000000001</v>
      </c>
      <c r="L4" s="3">
        <v>17.633240000000001</v>
      </c>
      <c r="M4" s="3">
        <v>15.986459999999999</v>
      </c>
      <c r="N4" s="3">
        <v>14.54928</v>
      </c>
      <c r="O4" s="3">
        <v>22.417369999999998</v>
      </c>
      <c r="P4" s="3">
        <v>16.992049999999999</v>
      </c>
      <c r="Q4" s="3">
        <v>41.69014</v>
      </c>
      <c r="R4" s="3">
        <v>20.003209999999999</v>
      </c>
      <c r="S4" s="3">
        <v>19.563960000000002</v>
      </c>
      <c r="T4" s="3">
        <v>19.57619</v>
      </c>
      <c r="U4" s="3">
        <v>16.015139999999999</v>
      </c>
      <c r="V4" s="3">
        <v>26.82282</v>
      </c>
      <c r="W4" s="3">
        <v>33.680340000000001</v>
      </c>
      <c r="X4" s="3">
        <v>34.21123</v>
      </c>
      <c r="Y4" s="3">
        <v>37.13026</v>
      </c>
      <c r="Z4" s="3">
        <v>90.440669999999997</v>
      </c>
      <c r="AA4" s="3">
        <v>33.801699999999997</v>
      </c>
      <c r="AB4" s="3">
        <v>32.72475</v>
      </c>
      <c r="AC4" s="3">
        <v>37.617660000000001</v>
      </c>
      <c r="AD4" s="3">
        <v>30.75694</v>
      </c>
      <c r="AE4" s="3">
        <v>12.27505</v>
      </c>
      <c r="AF4" s="3">
        <v>11.23142</v>
      </c>
      <c r="AG4" s="3">
        <v>15.059279999999999</v>
      </c>
      <c r="AH4" s="3">
        <v>12.68425</v>
      </c>
      <c r="AI4" s="3">
        <v>45.029159999999997</v>
      </c>
      <c r="AJ4" s="3">
        <v>15.846120000000001</v>
      </c>
      <c r="AK4" s="3">
        <v>18.735040000000001</v>
      </c>
      <c r="AL4" s="3">
        <v>12.68432</v>
      </c>
      <c r="AM4" s="3">
        <v>8.2559839999999998</v>
      </c>
      <c r="AN4" s="3">
        <v>22.970800000000001</v>
      </c>
      <c r="AO4" s="3">
        <v>23.38888</v>
      </c>
      <c r="AP4" s="3">
        <v>23.031369999999999</v>
      </c>
      <c r="AQ4" s="3">
        <v>31.872209999999999</v>
      </c>
      <c r="AR4" s="3">
        <v>50.779130000000002</v>
      </c>
      <c r="AS4" s="3">
        <v>31.897189999999998</v>
      </c>
      <c r="AT4" s="3">
        <v>26.826720000000002</v>
      </c>
      <c r="AU4" s="3">
        <v>27.565149999999999</v>
      </c>
      <c r="AV4" s="3">
        <v>33.18618</v>
      </c>
      <c r="AW4" s="3">
        <v>23.770489999999999</v>
      </c>
      <c r="AX4" s="3">
        <v>23.33568</v>
      </c>
      <c r="AY4" s="3">
        <v>30.283339999999999</v>
      </c>
      <c r="AZ4" s="3">
        <v>24.923439999999999</v>
      </c>
      <c r="BA4" s="3">
        <v>41.096760000000003</v>
      </c>
      <c r="BB4" s="3">
        <v>22.010899999999999</v>
      </c>
      <c r="BC4" s="3">
        <v>25.003070000000001</v>
      </c>
      <c r="BD4" s="3">
        <v>22.42249</v>
      </c>
      <c r="BE4" s="3">
        <v>18.491720000000001</v>
      </c>
      <c r="BF4" s="3">
        <v>30.911069999999999</v>
      </c>
      <c r="BG4" s="3">
        <v>30.49634</v>
      </c>
      <c r="BH4" s="3">
        <v>27.43703</v>
      </c>
      <c r="BI4" s="3">
        <v>32.977350000000001</v>
      </c>
      <c r="BJ4" s="3">
        <v>63.571820000000002</v>
      </c>
      <c r="BK4" s="3">
        <v>35.6922</v>
      </c>
      <c r="BL4" s="3">
        <v>36.924639999999997</v>
      </c>
      <c r="BM4" s="3">
        <v>39.128059999999998</v>
      </c>
      <c r="BN4" s="3">
        <v>38.222999999999999</v>
      </c>
      <c r="BO4" s="3">
        <v>13.955970000000001</v>
      </c>
      <c r="BP4" s="3">
        <v>15.793950000000001</v>
      </c>
      <c r="BQ4" s="3">
        <v>15.95</v>
      </c>
      <c r="BR4" s="3">
        <v>15.774150000000001</v>
      </c>
      <c r="BS4" s="3">
        <v>29.26614</v>
      </c>
      <c r="BT4" s="3">
        <v>15.110290000000001</v>
      </c>
      <c r="BU4" s="3">
        <v>18.706219999999998</v>
      </c>
      <c r="BV4" s="3">
        <v>13.334239999999999</v>
      </c>
      <c r="BW4" s="3">
        <v>9.7105130000000006</v>
      </c>
      <c r="BX4" s="3">
        <v>20.905809999999999</v>
      </c>
      <c r="BY4" s="3">
        <v>20.386389999999999</v>
      </c>
      <c r="BZ4" s="3">
        <v>19.315930000000002</v>
      </c>
      <c r="CA4" s="3">
        <v>14.90193</v>
      </c>
      <c r="CB4" s="3">
        <v>35.708240000000004</v>
      </c>
      <c r="CC4" s="3">
        <v>18.189050000000002</v>
      </c>
      <c r="CD4" s="3">
        <v>14.88363</v>
      </c>
      <c r="CE4" s="3">
        <v>19.306229999999999</v>
      </c>
      <c r="CF4" s="3">
        <v>12.478009999999999</v>
      </c>
      <c r="CG4" s="3">
        <v>38.179839999999999</v>
      </c>
      <c r="CH4" s="3">
        <v>34.93826</v>
      </c>
      <c r="CI4" s="3">
        <v>31.182729999999999</v>
      </c>
      <c r="CJ4" s="3">
        <v>35.559229999999999</v>
      </c>
      <c r="CK4" s="3">
        <v>84.269139999999993</v>
      </c>
      <c r="CL4" s="3">
        <v>36.14893</v>
      </c>
      <c r="CM4" s="3">
        <v>40.580129999999997</v>
      </c>
      <c r="CN4" s="3">
        <v>28.090710000000001</v>
      </c>
      <c r="CO4" s="3">
        <v>26.33952</v>
      </c>
      <c r="CP4" s="3">
        <v>25.70872</v>
      </c>
      <c r="CQ4" s="3">
        <v>28.2303</v>
      </c>
      <c r="CR4" s="3">
        <v>29.180299999999999</v>
      </c>
      <c r="CS4" s="3">
        <v>28.79541</v>
      </c>
      <c r="CT4" s="3">
        <v>53.084490000000002</v>
      </c>
      <c r="CU4" s="3">
        <v>31.73057</v>
      </c>
      <c r="CV4" s="3">
        <v>24.635120000000001</v>
      </c>
      <c r="CW4" s="3">
        <v>22.443110000000001</v>
      </c>
      <c r="CX4" s="3">
        <v>18.824570000000001</v>
      </c>
      <c r="CY4" s="3">
        <v>16.541879999999999</v>
      </c>
      <c r="CZ4" s="3">
        <v>25.786429999999999</v>
      </c>
      <c r="DA4" s="3">
        <v>31.808959999999999</v>
      </c>
      <c r="DB4" s="3">
        <v>26.683299999999999</v>
      </c>
      <c r="DC4" s="3">
        <v>39.444450000000003</v>
      </c>
      <c r="DD4" s="3">
        <v>29.67746</v>
      </c>
      <c r="DE4" s="3">
        <v>28.866779999999999</v>
      </c>
      <c r="DF4" s="3">
        <v>23.645099999999999</v>
      </c>
      <c r="DG4" s="3">
        <v>22.010760000000001</v>
      </c>
    </row>
    <row r="5" spans="1:111" x14ac:dyDescent="0.2">
      <c r="A5" s="3">
        <v>1</v>
      </c>
      <c r="B5" s="4" t="s">
        <v>117</v>
      </c>
      <c r="C5" s="3">
        <v>12</v>
      </c>
      <c r="D5" s="3">
        <v>13.132099999999999</v>
      </c>
      <c r="E5" s="3">
        <v>18.823889999999999</v>
      </c>
      <c r="F5" s="3">
        <v>19.819710000000001</v>
      </c>
      <c r="G5" s="3">
        <v>19.826740000000001</v>
      </c>
      <c r="H5" s="3">
        <v>52.07235</v>
      </c>
      <c r="I5" s="3">
        <v>22.608779999999999</v>
      </c>
      <c r="J5" s="3">
        <v>27.27046</v>
      </c>
      <c r="K5" s="3">
        <v>34.55733</v>
      </c>
      <c r="L5" s="3">
        <v>18.275510000000001</v>
      </c>
      <c r="M5" s="3">
        <v>16.352370000000001</v>
      </c>
      <c r="N5" s="3">
        <v>15.53281</v>
      </c>
      <c r="O5" s="3">
        <v>23.179500000000001</v>
      </c>
      <c r="P5" s="3">
        <v>17.303049999999999</v>
      </c>
      <c r="Q5" s="3">
        <v>44.944279999999999</v>
      </c>
      <c r="R5" s="3">
        <v>22.29636</v>
      </c>
      <c r="S5" s="3">
        <v>20.228429999999999</v>
      </c>
      <c r="T5" s="3">
        <v>21.271989999999999</v>
      </c>
      <c r="U5" s="3">
        <v>18.490020000000001</v>
      </c>
      <c r="V5" s="3">
        <v>30.223369999999999</v>
      </c>
      <c r="W5" s="3">
        <v>38.09939</v>
      </c>
      <c r="X5" s="3">
        <v>34.83596</v>
      </c>
      <c r="Y5" s="3">
        <v>37.695799999999998</v>
      </c>
      <c r="Z5" s="3">
        <v>93.166989999999998</v>
      </c>
      <c r="AA5" s="3">
        <v>37.588909999999998</v>
      </c>
      <c r="AB5" s="3">
        <v>35.80153</v>
      </c>
      <c r="AC5" s="3">
        <v>42.510100000000001</v>
      </c>
      <c r="AD5" s="3">
        <v>35.43974</v>
      </c>
      <c r="AE5" s="3">
        <v>13.90795</v>
      </c>
      <c r="AF5" s="3">
        <v>13.56329</v>
      </c>
      <c r="AG5" s="3">
        <v>17.523219999999998</v>
      </c>
      <c r="AH5" s="3">
        <v>13.804080000000001</v>
      </c>
      <c r="AI5" s="3">
        <v>48.978430000000003</v>
      </c>
      <c r="AJ5" s="3">
        <v>19.05547</v>
      </c>
      <c r="AK5" s="3">
        <v>20.115880000000001</v>
      </c>
      <c r="AL5" s="3">
        <v>17.15288</v>
      </c>
      <c r="AM5" s="3">
        <v>9.1783219999999996</v>
      </c>
      <c r="AN5" s="3">
        <v>25.658190000000001</v>
      </c>
      <c r="AO5" s="3">
        <v>24.869769999999999</v>
      </c>
      <c r="AP5" s="3">
        <v>29.275289999999998</v>
      </c>
      <c r="AQ5" s="3">
        <v>34.91095</v>
      </c>
      <c r="AR5" s="3">
        <v>57.407589999999999</v>
      </c>
      <c r="AS5" s="3">
        <v>38.104509999999998</v>
      </c>
      <c r="AT5" s="3">
        <v>26.492229999999999</v>
      </c>
      <c r="AU5" s="3">
        <v>27.904689999999999</v>
      </c>
      <c r="AV5" s="3">
        <v>36.940010000000001</v>
      </c>
      <c r="AW5" s="3">
        <v>27.416139999999999</v>
      </c>
      <c r="AX5" s="3">
        <v>25.39199</v>
      </c>
      <c r="AY5" s="3">
        <v>30.845030000000001</v>
      </c>
      <c r="AZ5" s="3">
        <v>26.988420000000001</v>
      </c>
      <c r="BA5" s="3">
        <v>45.752569999999999</v>
      </c>
      <c r="BB5" s="3">
        <v>24.759679999999999</v>
      </c>
      <c r="BC5" s="3">
        <v>26.173380000000002</v>
      </c>
      <c r="BD5" s="3">
        <v>26.181840000000001</v>
      </c>
      <c r="BE5" s="3">
        <v>20.18985</v>
      </c>
      <c r="BF5" s="3">
        <v>33.891829999999999</v>
      </c>
      <c r="BG5" s="3">
        <v>36.762860000000003</v>
      </c>
      <c r="BH5" s="3">
        <v>32.364989999999999</v>
      </c>
      <c r="BI5" s="3">
        <v>36.681319999999999</v>
      </c>
      <c r="BJ5" s="3">
        <v>69.770200000000003</v>
      </c>
      <c r="BK5" s="3">
        <v>41.090269999999997</v>
      </c>
      <c r="BL5" s="3">
        <v>42.053510000000003</v>
      </c>
      <c r="BM5" s="3">
        <v>44.637369999999997</v>
      </c>
      <c r="BN5" s="3">
        <v>40.963450000000002</v>
      </c>
      <c r="BO5" s="3">
        <v>17.178830000000001</v>
      </c>
      <c r="BP5" s="3">
        <v>17.794609999999999</v>
      </c>
      <c r="BQ5" s="3">
        <v>18.223949999999999</v>
      </c>
      <c r="BR5" s="3">
        <v>19.62255</v>
      </c>
      <c r="BS5" s="3">
        <v>33.169989999999999</v>
      </c>
      <c r="BT5" s="3">
        <v>16.963640000000002</v>
      </c>
      <c r="BU5" s="3">
        <v>21.09027</v>
      </c>
      <c r="BV5" s="3">
        <v>15.77538</v>
      </c>
      <c r="BW5" s="3">
        <v>11.087400000000001</v>
      </c>
      <c r="BX5" s="3">
        <v>22.378579999999999</v>
      </c>
      <c r="BY5" s="3">
        <v>22.740860000000001</v>
      </c>
      <c r="BZ5" s="3">
        <v>18.291350000000001</v>
      </c>
      <c r="CA5" s="3">
        <v>15.65286</v>
      </c>
      <c r="CB5" s="3">
        <v>37.806899999999999</v>
      </c>
      <c r="CC5" s="3">
        <v>20.909289999999999</v>
      </c>
      <c r="CD5" s="3">
        <v>15.53219</v>
      </c>
      <c r="CE5" s="3">
        <v>18.28753</v>
      </c>
      <c r="CF5" s="3">
        <v>13.198689999999999</v>
      </c>
      <c r="CG5" s="3">
        <v>40.136780000000002</v>
      </c>
      <c r="CH5" s="3">
        <v>38.299349999999997</v>
      </c>
      <c r="CI5" s="3">
        <v>39.027119999999996</v>
      </c>
      <c r="CJ5" s="3">
        <v>37.736289999999997</v>
      </c>
      <c r="CK5" s="3">
        <v>87.816860000000005</v>
      </c>
      <c r="CL5" s="3">
        <v>41.227800000000002</v>
      </c>
      <c r="CM5" s="3">
        <v>43.175750000000001</v>
      </c>
      <c r="CN5" s="3">
        <v>30.88983</v>
      </c>
      <c r="CO5" s="3">
        <v>28.347020000000001</v>
      </c>
      <c r="CP5" s="3">
        <v>28.513030000000001</v>
      </c>
      <c r="CQ5" s="3">
        <v>29.200109999999999</v>
      </c>
      <c r="CR5" s="3">
        <v>33.174979999999998</v>
      </c>
      <c r="CS5" s="3">
        <v>33.151829999999997</v>
      </c>
      <c r="CT5" s="3">
        <v>57.574570000000001</v>
      </c>
      <c r="CU5" s="3">
        <v>39.285469999999997</v>
      </c>
      <c r="CV5" s="3">
        <v>26.41028</v>
      </c>
      <c r="CW5" s="3">
        <v>24.517869999999998</v>
      </c>
      <c r="CX5" s="3">
        <v>21.143529999999998</v>
      </c>
      <c r="CY5" s="3">
        <v>18.09188</v>
      </c>
      <c r="CZ5" s="3">
        <v>28.423909999999999</v>
      </c>
      <c r="DA5" s="3">
        <v>37.008989999999997</v>
      </c>
      <c r="DB5" s="3">
        <v>29.364830000000001</v>
      </c>
      <c r="DC5" s="3">
        <v>47.950850000000003</v>
      </c>
      <c r="DD5" s="3">
        <v>32.729590000000002</v>
      </c>
      <c r="DE5" s="3">
        <v>30.473050000000001</v>
      </c>
      <c r="DF5" s="3">
        <v>28.260280000000002</v>
      </c>
      <c r="DG5" s="3">
        <v>23.691199999999998</v>
      </c>
    </row>
    <row r="6" spans="1:111" x14ac:dyDescent="0.2">
      <c r="A6" s="3">
        <v>1</v>
      </c>
      <c r="B6" s="4" t="s">
        <v>117</v>
      </c>
      <c r="C6" s="3">
        <v>16</v>
      </c>
      <c r="D6" s="3">
        <v>13.18421</v>
      </c>
      <c r="E6" s="3">
        <v>20.718419999999998</v>
      </c>
      <c r="F6" s="3">
        <v>18.322289999999999</v>
      </c>
      <c r="G6" s="3">
        <v>20.089189999999999</v>
      </c>
      <c r="H6" s="3">
        <v>54.86739</v>
      </c>
      <c r="I6" s="3">
        <v>26.392389999999999</v>
      </c>
      <c r="J6" s="3">
        <v>28.84404</v>
      </c>
      <c r="K6" s="3">
        <v>35.515189999999997</v>
      </c>
      <c r="L6" s="3">
        <v>19.722049999999999</v>
      </c>
      <c r="M6" s="3">
        <v>14.562659999999999</v>
      </c>
      <c r="N6" s="3">
        <v>17.610220000000002</v>
      </c>
      <c r="O6" s="3">
        <v>25.404219999999999</v>
      </c>
      <c r="P6" s="3">
        <v>16.574110000000001</v>
      </c>
      <c r="Q6" s="3">
        <v>46.695459999999997</v>
      </c>
      <c r="R6" s="3">
        <v>22.036439999999999</v>
      </c>
      <c r="S6" s="3">
        <v>19.17792</v>
      </c>
      <c r="T6" s="3">
        <v>20.561489999999999</v>
      </c>
      <c r="U6" s="3">
        <v>16.942260000000001</v>
      </c>
      <c r="V6" s="3">
        <v>31.621639999999999</v>
      </c>
      <c r="W6" s="3">
        <v>39.938949999999998</v>
      </c>
      <c r="X6" s="3">
        <v>39.666800000000002</v>
      </c>
      <c r="Y6" s="3">
        <v>41.412329999999997</v>
      </c>
      <c r="Z6" s="3">
        <v>94.845380000000006</v>
      </c>
      <c r="AA6" s="3">
        <v>42.260570000000001</v>
      </c>
      <c r="AB6" s="3">
        <v>39.436329999999998</v>
      </c>
      <c r="AC6" s="3">
        <v>43.452930000000002</v>
      </c>
      <c r="AD6" s="3">
        <v>39.616410000000002</v>
      </c>
      <c r="AE6" s="3">
        <v>15.287509999999999</v>
      </c>
      <c r="AF6" s="3">
        <v>13.660880000000001</v>
      </c>
      <c r="AG6" s="3">
        <v>16.969580000000001</v>
      </c>
      <c r="AH6" s="3">
        <v>14.48611</v>
      </c>
      <c r="AI6" s="3">
        <v>50.915370000000003</v>
      </c>
      <c r="AJ6" s="3">
        <v>20.5352</v>
      </c>
      <c r="AK6" s="3">
        <v>22.117159999999998</v>
      </c>
      <c r="AL6" s="3">
        <v>17.306730000000002</v>
      </c>
      <c r="AM6" s="3">
        <v>11.042400000000001</v>
      </c>
      <c r="AN6" s="3">
        <v>27.434519999999999</v>
      </c>
      <c r="AO6" s="3">
        <v>26.626909999999999</v>
      </c>
      <c r="AP6" s="3">
        <v>28.86862</v>
      </c>
      <c r="AQ6" s="3">
        <v>39.875909999999998</v>
      </c>
      <c r="AR6" s="3">
        <v>61.036450000000002</v>
      </c>
      <c r="AS6" s="3">
        <v>42.487430000000003</v>
      </c>
      <c r="AT6" s="3">
        <v>30.299720000000001</v>
      </c>
      <c r="AU6" s="3">
        <v>31.733640000000001</v>
      </c>
      <c r="AV6" s="3">
        <v>42.770499999999998</v>
      </c>
      <c r="AW6" s="3">
        <v>28.86159</v>
      </c>
      <c r="AX6" s="3">
        <v>26.70673</v>
      </c>
      <c r="AY6" s="3">
        <v>36.210459999999998</v>
      </c>
      <c r="AZ6" s="3">
        <v>31.290150000000001</v>
      </c>
      <c r="BA6" s="3">
        <v>53.586109999999998</v>
      </c>
      <c r="BB6" s="3">
        <v>30.193739999999998</v>
      </c>
      <c r="BC6" s="3">
        <v>33.576749999999997</v>
      </c>
      <c r="BD6" s="3">
        <v>30.786439999999999</v>
      </c>
      <c r="BE6" s="3">
        <v>21.431039999999999</v>
      </c>
      <c r="BF6" s="3">
        <v>41.489699999999999</v>
      </c>
      <c r="BG6" s="3">
        <v>43.157780000000002</v>
      </c>
      <c r="BH6" s="3">
        <v>37.379469999999998</v>
      </c>
      <c r="BI6" s="3">
        <v>42.408079999999998</v>
      </c>
      <c r="BJ6" s="3">
        <v>79.955190000000002</v>
      </c>
      <c r="BK6" s="3">
        <v>46.932499999999997</v>
      </c>
      <c r="BL6" s="3">
        <v>51.586880000000001</v>
      </c>
      <c r="BM6" s="3">
        <v>53.742080000000001</v>
      </c>
      <c r="BN6" s="3">
        <v>47.281190000000002</v>
      </c>
      <c r="BO6" s="3">
        <v>18.624749999999999</v>
      </c>
      <c r="BP6" s="3">
        <v>21.287559999999999</v>
      </c>
      <c r="BQ6" s="3">
        <v>20.368230000000001</v>
      </c>
      <c r="BR6" s="3">
        <v>20.755230000000001</v>
      </c>
      <c r="BS6" s="3">
        <v>38.579680000000003</v>
      </c>
      <c r="BT6" s="3">
        <v>20.191960000000002</v>
      </c>
      <c r="BU6" s="3">
        <v>24.15934</v>
      </c>
      <c r="BV6" s="3">
        <v>19.04195</v>
      </c>
      <c r="BW6" s="3">
        <v>12.768929999999999</v>
      </c>
      <c r="BX6" s="3">
        <v>22.842210000000001</v>
      </c>
      <c r="BY6" s="3">
        <v>22.65926</v>
      </c>
      <c r="BZ6" s="3">
        <v>18.211729999999999</v>
      </c>
      <c r="CA6" s="3">
        <v>17.99682</v>
      </c>
      <c r="CB6" s="3">
        <v>39.49239</v>
      </c>
      <c r="CC6" s="3">
        <v>22.728090000000002</v>
      </c>
      <c r="CD6" s="3">
        <v>15.01994</v>
      </c>
      <c r="CE6" s="3">
        <v>18.894850000000002</v>
      </c>
      <c r="CF6" s="3">
        <v>13.092359999999999</v>
      </c>
      <c r="CG6" s="3">
        <v>42.527999999999999</v>
      </c>
      <c r="CH6" s="3">
        <v>41.407139999999998</v>
      </c>
      <c r="CI6" s="3">
        <v>40.20364</v>
      </c>
      <c r="CJ6" s="3">
        <v>40.311340000000001</v>
      </c>
      <c r="CK6" s="3">
        <v>90.599040000000002</v>
      </c>
      <c r="CL6" s="3">
        <v>44.60924</v>
      </c>
      <c r="CM6" s="3">
        <v>43.664909999999999</v>
      </c>
      <c r="CN6" s="3">
        <v>29.3735</v>
      </c>
      <c r="CO6" s="3">
        <v>31.079329999999999</v>
      </c>
      <c r="CP6" s="3">
        <v>28.15108</v>
      </c>
      <c r="CQ6" s="3">
        <v>35.069929999999999</v>
      </c>
      <c r="CR6" s="3">
        <v>36.748800000000003</v>
      </c>
      <c r="CS6" s="3">
        <v>36.203220000000002</v>
      </c>
      <c r="CT6" s="3">
        <v>65.027109999999993</v>
      </c>
      <c r="CU6" s="3">
        <v>43.244430000000001</v>
      </c>
      <c r="CV6" s="3">
        <v>27.470839999999999</v>
      </c>
      <c r="CW6" s="3">
        <v>29.556650000000001</v>
      </c>
      <c r="CX6" s="3">
        <v>22.26146</v>
      </c>
      <c r="CY6" s="3">
        <v>18.22026</v>
      </c>
      <c r="CZ6" s="3">
        <v>29.39931</v>
      </c>
      <c r="DA6" s="3">
        <v>40.334829999999997</v>
      </c>
      <c r="DB6" s="3">
        <v>33.081980000000001</v>
      </c>
      <c r="DC6" s="3">
        <v>49.109070000000003</v>
      </c>
      <c r="DD6" s="3">
        <v>36.215910000000001</v>
      </c>
      <c r="DE6" s="3">
        <v>30.778030000000001</v>
      </c>
      <c r="DF6" s="3">
        <v>33.111400000000003</v>
      </c>
      <c r="DG6" s="3">
        <v>24.875779999999999</v>
      </c>
    </row>
    <row r="7" spans="1:111" x14ac:dyDescent="0.2">
      <c r="A7" s="3">
        <v>1</v>
      </c>
      <c r="B7" s="4" t="s">
        <v>117</v>
      </c>
      <c r="C7" s="3">
        <v>20</v>
      </c>
      <c r="D7" s="3">
        <v>15.47025</v>
      </c>
      <c r="E7" s="3">
        <v>22.952909999999999</v>
      </c>
      <c r="F7" s="3">
        <v>21.08596</v>
      </c>
      <c r="G7" s="3">
        <v>23.228259999999999</v>
      </c>
      <c r="H7" s="3">
        <v>61.578620000000001</v>
      </c>
      <c r="I7" s="3">
        <v>29.72738</v>
      </c>
      <c r="J7" s="3">
        <v>32.613770000000002</v>
      </c>
      <c r="K7" s="3">
        <v>40.57931</v>
      </c>
      <c r="L7" s="3">
        <v>23.580159999999999</v>
      </c>
      <c r="M7" s="3">
        <v>17.200679999999998</v>
      </c>
      <c r="N7" s="3">
        <v>17.722829999999998</v>
      </c>
      <c r="O7" s="3">
        <v>26.53792</v>
      </c>
      <c r="P7" s="3">
        <v>17.617940000000001</v>
      </c>
      <c r="Q7" s="3">
        <v>46.264479999999999</v>
      </c>
      <c r="R7" s="3">
        <v>25.163360000000001</v>
      </c>
      <c r="S7" s="3">
        <v>19.818480000000001</v>
      </c>
      <c r="T7" s="3">
        <v>19.836510000000001</v>
      </c>
      <c r="U7" s="3">
        <v>20.555759999999999</v>
      </c>
      <c r="V7" s="3">
        <v>35.468539999999997</v>
      </c>
      <c r="W7" s="3">
        <v>42.272790000000001</v>
      </c>
      <c r="X7" s="3">
        <v>41.699420000000003</v>
      </c>
      <c r="Y7" s="3">
        <v>49.447119999999998</v>
      </c>
      <c r="Z7" s="3">
        <v>96.200959999999995</v>
      </c>
      <c r="AA7" s="3">
        <v>49.413800000000002</v>
      </c>
      <c r="AB7" s="3">
        <v>47.379460000000002</v>
      </c>
      <c r="AC7" s="3">
        <v>51.268839999999997</v>
      </c>
      <c r="AD7" s="3">
        <v>45.049509999999998</v>
      </c>
      <c r="AE7" s="3">
        <v>16.242149999999999</v>
      </c>
      <c r="AF7" s="3">
        <v>15.913600000000001</v>
      </c>
      <c r="AG7" s="3">
        <v>13.24526</v>
      </c>
      <c r="AH7" s="3">
        <v>16.39669</v>
      </c>
      <c r="AI7" s="3">
        <v>55.482669999999999</v>
      </c>
      <c r="AJ7" s="3">
        <v>21.121400000000001</v>
      </c>
      <c r="AK7" s="3">
        <v>22.673729999999999</v>
      </c>
      <c r="AL7" s="3">
        <v>18.511050000000001</v>
      </c>
      <c r="AM7" s="3">
        <v>11.47823</v>
      </c>
      <c r="AN7" s="3">
        <v>34.043170000000003</v>
      </c>
      <c r="AO7" s="3">
        <v>32.7819</v>
      </c>
      <c r="AP7" s="3">
        <v>36.325180000000003</v>
      </c>
      <c r="AQ7" s="3">
        <v>44.080109999999998</v>
      </c>
      <c r="AR7" s="3">
        <v>69.463909999999998</v>
      </c>
      <c r="AS7" s="3">
        <v>50.420670000000001</v>
      </c>
      <c r="AT7" s="3">
        <v>32.358840000000001</v>
      </c>
      <c r="AU7" s="3">
        <v>38.51426</v>
      </c>
      <c r="AV7" s="3">
        <v>47.036990000000003</v>
      </c>
      <c r="AW7" s="3">
        <v>31.65483</v>
      </c>
      <c r="AX7" s="3">
        <v>29.609719999999999</v>
      </c>
      <c r="AY7" s="3">
        <v>40.446620000000003</v>
      </c>
      <c r="AZ7" s="3">
        <v>36.612830000000002</v>
      </c>
      <c r="BA7" s="3">
        <v>62.093530000000001</v>
      </c>
      <c r="BB7" s="3">
        <v>34.14302</v>
      </c>
      <c r="BC7" s="3">
        <v>39.370420000000003</v>
      </c>
      <c r="BD7" s="3">
        <v>36.22739</v>
      </c>
      <c r="BE7" s="3">
        <v>26.341989999999999</v>
      </c>
      <c r="BF7" s="3">
        <v>47.101860000000002</v>
      </c>
      <c r="BG7" s="3">
        <v>50.440539999999999</v>
      </c>
      <c r="BH7" s="3">
        <v>42.961440000000003</v>
      </c>
      <c r="BI7" s="3">
        <v>47.810989999999997</v>
      </c>
      <c r="BJ7" s="3">
        <v>87.442009999999996</v>
      </c>
      <c r="BK7" s="3">
        <v>55.635860000000001</v>
      </c>
      <c r="BL7" s="3">
        <v>56.975250000000003</v>
      </c>
      <c r="BM7" s="3">
        <v>60.268790000000003</v>
      </c>
      <c r="BN7" s="3">
        <v>52.947710000000001</v>
      </c>
      <c r="BO7" s="3">
        <v>21.471540000000001</v>
      </c>
      <c r="BP7" s="3">
        <v>22.205190000000002</v>
      </c>
      <c r="BQ7" s="3">
        <v>23.687100000000001</v>
      </c>
      <c r="BR7" s="3">
        <v>26.23969</v>
      </c>
      <c r="BS7" s="3">
        <v>44.561230000000002</v>
      </c>
      <c r="BT7" s="3">
        <v>23.678429999999999</v>
      </c>
      <c r="BU7" s="3">
        <v>28.332270000000001</v>
      </c>
      <c r="BV7" s="3">
        <v>21.247399999999999</v>
      </c>
      <c r="BW7" s="3">
        <v>13.563359999999999</v>
      </c>
      <c r="BX7" s="3">
        <v>24.81315</v>
      </c>
      <c r="BY7" s="3">
        <v>24.015650000000001</v>
      </c>
      <c r="BZ7" s="3">
        <v>19.222370000000002</v>
      </c>
      <c r="CA7" s="3">
        <v>19.5305</v>
      </c>
      <c r="CB7" s="3">
        <v>44.433929999999997</v>
      </c>
      <c r="CC7" s="3">
        <v>23.348790000000001</v>
      </c>
      <c r="CD7" s="3">
        <v>16.981940000000002</v>
      </c>
      <c r="CE7" s="3">
        <v>21.649370000000001</v>
      </c>
      <c r="CF7" s="3">
        <v>14.02023</v>
      </c>
      <c r="CG7" s="3">
        <v>45.182679999999998</v>
      </c>
      <c r="CH7" s="3">
        <v>43.411949999999997</v>
      </c>
      <c r="CI7" s="3">
        <v>43.138170000000002</v>
      </c>
      <c r="CJ7" s="3">
        <v>45.46622</v>
      </c>
      <c r="CK7" s="3">
        <v>91.739360000000005</v>
      </c>
      <c r="CL7" s="3">
        <v>49.95234</v>
      </c>
      <c r="CM7" s="3">
        <v>45.811700000000002</v>
      </c>
      <c r="CN7" s="3">
        <v>36.587150000000001</v>
      </c>
      <c r="CO7" s="3">
        <v>31.25328</v>
      </c>
      <c r="CP7" s="3">
        <v>35.69903</v>
      </c>
      <c r="CQ7" s="3">
        <v>40.278210000000001</v>
      </c>
      <c r="CR7" s="3">
        <v>42.492899999999999</v>
      </c>
      <c r="CS7" s="3">
        <v>40.329569999999997</v>
      </c>
      <c r="CT7" s="3">
        <v>75.972660000000005</v>
      </c>
      <c r="CU7" s="3">
        <v>51.245559999999998</v>
      </c>
      <c r="CV7" s="3">
        <v>33.670589999999997</v>
      </c>
      <c r="CW7" s="3">
        <v>36.075040000000001</v>
      </c>
      <c r="CX7" s="3">
        <v>24.015170000000001</v>
      </c>
      <c r="CY7" s="3">
        <v>22.725770000000001</v>
      </c>
      <c r="CZ7" s="3">
        <v>34.759340000000002</v>
      </c>
      <c r="DA7" s="3">
        <v>46.195779999999999</v>
      </c>
      <c r="DB7" s="3">
        <v>36.715260000000001</v>
      </c>
      <c r="DC7" s="3">
        <v>63.43374</v>
      </c>
      <c r="DD7" s="3">
        <v>48.07835</v>
      </c>
      <c r="DE7" s="3">
        <v>38.709159999999997</v>
      </c>
      <c r="DF7" s="3">
        <v>38.56288</v>
      </c>
      <c r="DG7" s="3">
        <v>31.00169</v>
      </c>
    </row>
    <row r="8" spans="1:111" x14ac:dyDescent="0.2">
      <c r="A8" s="3">
        <v>1</v>
      </c>
      <c r="B8" s="4" t="s">
        <v>117</v>
      </c>
      <c r="C8" s="3">
        <v>24</v>
      </c>
      <c r="D8" s="3">
        <v>16.397369999999999</v>
      </c>
      <c r="E8" s="3">
        <v>25.82386</v>
      </c>
      <c r="F8" s="3">
        <v>25.148330000000001</v>
      </c>
      <c r="G8" s="3">
        <v>25.56053</v>
      </c>
      <c r="H8" s="3">
        <v>67.732600000000005</v>
      </c>
      <c r="I8" s="3">
        <v>35.175649999999997</v>
      </c>
      <c r="J8" s="3">
        <v>34.81738</v>
      </c>
      <c r="K8" s="3">
        <v>44.017220000000002</v>
      </c>
      <c r="L8" s="3">
        <v>27.031590000000001</v>
      </c>
      <c r="M8" s="3">
        <v>19.12772</v>
      </c>
      <c r="N8" s="3">
        <v>23.268070000000002</v>
      </c>
      <c r="O8" s="3">
        <v>31.41799</v>
      </c>
      <c r="P8" s="3">
        <v>22.09319</v>
      </c>
      <c r="Q8" s="3">
        <v>54.190739999999998</v>
      </c>
      <c r="R8" s="3">
        <v>28.824020000000001</v>
      </c>
      <c r="S8" s="3">
        <v>24.487539999999999</v>
      </c>
      <c r="T8" s="3">
        <v>25.662420000000001</v>
      </c>
      <c r="U8" s="3">
        <v>24.612580000000001</v>
      </c>
      <c r="V8" s="3">
        <v>41.655380000000001</v>
      </c>
      <c r="W8" s="3">
        <v>49.387630000000001</v>
      </c>
      <c r="X8" s="3">
        <v>49.495109999999997</v>
      </c>
      <c r="Y8" s="3">
        <v>56.414169999999999</v>
      </c>
      <c r="Z8" s="3">
        <v>96.587289999999996</v>
      </c>
      <c r="AA8" s="3">
        <v>59.161990000000003</v>
      </c>
      <c r="AB8" s="3">
        <v>55.192990000000002</v>
      </c>
      <c r="AC8" s="3">
        <v>58.469459999999998</v>
      </c>
      <c r="AD8" s="3">
        <v>53.079929999999997</v>
      </c>
      <c r="AE8" s="3">
        <v>19.23432</v>
      </c>
      <c r="AF8" s="3">
        <v>19.09562</v>
      </c>
      <c r="AG8" s="3">
        <v>19.082170000000001</v>
      </c>
      <c r="AH8" s="3">
        <v>19.24053</v>
      </c>
      <c r="AI8" s="3">
        <v>62.926070000000003</v>
      </c>
      <c r="AJ8" s="3">
        <v>27.34395</v>
      </c>
      <c r="AK8" s="3">
        <v>24.175930000000001</v>
      </c>
      <c r="AL8" s="3">
        <v>19.60999</v>
      </c>
      <c r="AM8" s="3">
        <v>13.12698</v>
      </c>
      <c r="AN8" s="3">
        <v>40.704210000000003</v>
      </c>
      <c r="AO8" s="3">
        <v>37.794400000000003</v>
      </c>
      <c r="AP8" s="3">
        <v>38.758200000000002</v>
      </c>
      <c r="AQ8" s="3">
        <v>53.04777</v>
      </c>
      <c r="AR8" s="3">
        <v>79.18262</v>
      </c>
      <c r="AS8" s="3">
        <v>59.751350000000002</v>
      </c>
      <c r="AT8" s="3">
        <v>39.724710000000002</v>
      </c>
      <c r="AU8" s="3">
        <v>43.143650000000001</v>
      </c>
      <c r="AV8" s="3">
        <v>54.748550000000002</v>
      </c>
      <c r="AW8" s="3">
        <v>39.269350000000003</v>
      </c>
      <c r="AX8" s="3">
        <v>37.55742</v>
      </c>
      <c r="AY8" s="3">
        <v>45.776670000000003</v>
      </c>
      <c r="AZ8" s="3">
        <v>41.113889999999998</v>
      </c>
      <c r="BA8" s="3">
        <v>72.315479999999994</v>
      </c>
      <c r="BB8" s="3">
        <v>41.657080000000001</v>
      </c>
      <c r="BC8" s="3">
        <v>46.984529999999999</v>
      </c>
      <c r="BD8" s="3">
        <v>41.933320000000002</v>
      </c>
      <c r="BE8" s="3">
        <v>31.566659999999999</v>
      </c>
      <c r="BF8" s="3">
        <v>54.49812</v>
      </c>
      <c r="BG8" s="3">
        <v>59.056010000000001</v>
      </c>
      <c r="BH8" s="3">
        <v>52.531419999999997</v>
      </c>
      <c r="BI8" s="3">
        <v>58.14302</v>
      </c>
      <c r="BJ8" s="3">
        <v>94.103610000000003</v>
      </c>
      <c r="BK8" s="3">
        <v>65.809389999999993</v>
      </c>
      <c r="BL8" s="3">
        <v>67.314589999999995</v>
      </c>
      <c r="BM8" s="3">
        <v>72.498019999999997</v>
      </c>
      <c r="BN8" s="3">
        <v>65.574190000000002</v>
      </c>
      <c r="BO8" s="3">
        <v>26.20036</v>
      </c>
      <c r="BP8" s="3">
        <v>27.02243</v>
      </c>
      <c r="BQ8" s="3">
        <v>25.411930000000002</v>
      </c>
      <c r="BR8" s="3">
        <v>29.160430000000002</v>
      </c>
      <c r="BS8" s="3">
        <v>52.906599999999997</v>
      </c>
      <c r="BT8" s="3">
        <v>28.581389999999999</v>
      </c>
      <c r="BU8" s="3">
        <v>33.108539999999998</v>
      </c>
      <c r="BV8" s="3">
        <v>25.531310000000001</v>
      </c>
      <c r="BW8" s="3">
        <v>16.373259999999998</v>
      </c>
      <c r="BX8" s="3">
        <v>26.117100000000001</v>
      </c>
      <c r="BY8" s="3">
        <v>26.60716</v>
      </c>
      <c r="BZ8" s="3">
        <v>22.112439999999999</v>
      </c>
      <c r="CA8" s="3">
        <v>21.760200000000001</v>
      </c>
      <c r="CB8" s="3">
        <v>45.704219999999999</v>
      </c>
      <c r="CC8" s="3">
        <v>28.2988</v>
      </c>
      <c r="CD8" s="3">
        <v>19.315860000000001</v>
      </c>
      <c r="CE8" s="3">
        <v>23.478809999999999</v>
      </c>
      <c r="CF8" s="3">
        <v>17.271699999999999</v>
      </c>
      <c r="CG8" s="3">
        <v>51.895139999999998</v>
      </c>
      <c r="CH8" s="3">
        <v>53.238840000000003</v>
      </c>
      <c r="CI8" s="3">
        <v>52.473500000000001</v>
      </c>
      <c r="CJ8" s="3">
        <v>54.394869999999997</v>
      </c>
      <c r="CK8" s="3">
        <v>93.883229999999998</v>
      </c>
      <c r="CL8" s="3">
        <v>56.78472</v>
      </c>
      <c r="CM8" s="3">
        <v>51.649850000000001</v>
      </c>
      <c r="CN8" s="3">
        <v>43.509619999999998</v>
      </c>
      <c r="CO8" s="3">
        <v>37.436140000000002</v>
      </c>
      <c r="CP8" s="3">
        <v>41.344239999999999</v>
      </c>
      <c r="CQ8" s="3">
        <v>47.913020000000003</v>
      </c>
      <c r="CR8" s="3">
        <v>50.475920000000002</v>
      </c>
      <c r="CS8" s="3">
        <v>50.756120000000003</v>
      </c>
      <c r="CT8" s="3">
        <v>82.6768</v>
      </c>
      <c r="CU8" s="3">
        <v>54.255549999999999</v>
      </c>
      <c r="CV8" s="3">
        <v>40.099980000000002</v>
      </c>
      <c r="CW8" s="3">
        <v>40.309089999999998</v>
      </c>
      <c r="CX8" s="3">
        <v>29.802219999999998</v>
      </c>
      <c r="CY8" s="3">
        <v>27.308299999999999</v>
      </c>
      <c r="CZ8" s="3">
        <v>40.113779999999998</v>
      </c>
      <c r="DA8" s="3">
        <v>55.108989999999999</v>
      </c>
      <c r="DB8" s="3">
        <v>44.076700000000002</v>
      </c>
      <c r="DC8" s="3">
        <v>69.361549999999994</v>
      </c>
      <c r="DD8" s="3">
        <v>53.260550000000002</v>
      </c>
      <c r="DE8" s="3">
        <v>43.063809999999997</v>
      </c>
      <c r="DF8" s="3">
        <v>42.449530000000003</v>
      </c>
      <c r="DG8" s="3">
        <v>36.121960000000001</v>
      </c>
    </row>
    <row r="9" spans="1:111" x14ac:dyDescent="0.2">
      <c r="A9" s="3">
        <v>1</v>
      </c>
      <c r="B9" s="4" t="s">
        <v>117</v>
      </c>
      <c r="C9" s="3">
        <v>28</v>
      </c>
      <c r="D9" s="3">
        <v>19.627400000000002</v>
      </c>
      <c r="E9" s="3">
        <v>27.44933</v>
      </c>
      <c r="F9" s="3">
        <v>28.99755</v>
      </c>
      <c r="G9" s="3">
        <v>28.80115</v>
      </c>
      <c r="H9" s="3">
        <v>70.922129999999996</v>
      </c>
      <c r="I9" s="3">
        <v>41.23442</v>
      </c>
      <c r="J9" s="3">
        <v>41.416969999999999</v>
      </c>
      <c r="K9" s="3">
        <v>51.995800000000003</v>
      </c>
      <c r="L9" s="3">
        <v>30.951160000000002</v>
      </c>
      <c r="M9" s="3">
        <v>21.316579999999998</v>
      </c>
      <c r="N9" s="3">
        <v>24.08483</v>
      </c>
      <c r="O9" s="3">
        <v>32.953319999999998</v>
      </c>
      <c r="P9" s="3">
        <v>25.838619999999999</v>
      </c>
      <c r="Q9" s="3">
        <v>56.358229999999999</v>
      </c>
      <c r="R9" s="3">
        <v>32.534959999999998</v>
      </c>
      <c r="S9" s="3">
        <v>28.248799999999999</v>
      </c>
      <c r="T9" s="3">
        <v>27.948460000000001</v>
      </c>
      <c r="U9" s="3">
        <v>26.626819999999999</v>
      </c>
      <c r="V9" s="3">
        <v>51.003189999999996</v>
      </c>
      <c r="W9" s="3">
        <v>56.113349999999997</v>
      </c>
      <c r="X9" s="3">
        <v>61.220700000000001</v>
      </c>
      <c r="Y9" s="3">
        <v>64.785970000000006</v>
      </c>
      <c r="Z9" s="3">
        <v>96.845979999999997</v>
      </c>
      <c r="AA9" s="3">
        <v>66.297939999999997</v>
      </c>
      <c r="AB9" s="3">
        <v>60.209650000000003</v>
      </c>
      <c r="AC9" s="3">
        <v>64.738709999999998</v>
      </c>
      <c r="AD9" s="3">
        <v>61.849319999999999</v>
      </c>
      <c r="AE9" s="3">
        <v>21.75365</v>
      </c>
      <c r="AF9" s="3">
        <v>20.820309999999999</v>
      </c>
      <c r="AG9" s="3">
        <v>25.854189999999999</v>
      </c>
      <c r="AH9" s="3">
        <v>22.276959999999999</v>
      </c>
      <c r="AI9" s="3">
        <v>68.265199999999993</v>
      </c>
      <c r="AJ9" s="3">
        <v>30.706130000000002</v>
      </c>
      <c r="AK9" s="3">
        <v>30.43159</v>
      </c>
      <c r="AL9" s="3">
        <v>22.600999999999999</v>
      </c>
      <c r="AM9" s="3">
        <v>15.534039999999999</v>
      </c>
      <c r="AN9" s="3">
        <v>47.319989999999997</v>
      </c>
      <c r="AO9" s="3">
        <v>47.156500000000001</v>
      </c>
      <c r="AP9" s="3">
        <v>51.339390000000002</v>
      </c>
      <c r="AQ9" s="3">
        <v>61.081049999999998</v>
      </c>
      <c r="AR9" s="3">
        <v>85.318160000000006</v>
      </c>
      <c r="AS9" s="3">
        <v>68.706289999999996</v>
      </c>
      <c r="AT9" s="3">
        <v>46.14217</v>
      </c>
      <c r="AU9" s="3">
        <v>49.983750000000001</v>
      </c>
      <c r="AV9" s="3">
        <v>66.285579999999996</v>
      </c>
      <c r="AW9" s="3">
        <v>44.268599999999999</v>
      </c>
      <c r="AX9" s="3">
        <v>43.527239999999999</v>
      </c>
      <c r="AY9" s="3">
        <v>59.746090000000002</v>
      </c>
      <c r="AZ9" s="3">
        <v>50.195650000000001</v>
      </c>
      <c r="BA9" s="3">
        <v>79.535480000000007</v>
      </c>
      <c r="BB9" s="3">
        <v>46.211350000000003</v>
      </c>
      <c r="BC9" s="3">
        <v>52.239400000000003</v>
      </c>
      <c r="BD9" s="3">
        <v>47.563580000000002</v>
      </c>
      <c r="BE9" s="3">
        <v>37.844659999999998</v>
      </c>
      <c r="BF9" s="3">
        <v>66.440389999999994</v>
      </c>
      <c r="BG9" s="3">
        <v>68.309799999999996</v>
      </c>
      <c r="BH9" s="3">
        <v>63.301870000000001</v>
      </c>
      <c r="BI9" s="3">
        <v>70.546120000000002</v>
      </c>
      <c r="BJ9" s="3">
        <v>96.554079999999999</v>
      </c>
      <c r="BK9" s="3">
        <v>78.036829999999995</v>
      </c>
      <c r="BL9" s="3">
        <v>81.802679999999995</v>
      </c>
      <c r="BM9" s="3">
        <v>84.570099999999996</v>
      </c>
      <c r="BN9" s="3">
        <v>75.371510000000001</v>
      </c>
      <c r="BO9" s="3">
        <v>31.33079</v>
      </c>
      <c r="BP9" s="3">
        <v>31.69</v>
      </c>
      <c r="BQ9" s="3">
        <v>29.47935</v>
      </c>
      <c r="BR9" s="3">
        <v>36.62088</v>
      </c>
      <c r="BS9" s="3">
        <v>59.480029999999999</v>
      </c>
      <c r="BT9" s="3">
        <v>32.613639999999997</v>
      </c>
      <c r="BU9" s="3">
        <v>38.885489999999997</v>
      </c>
      <c r="BV9" s="3">
        <v>29.85502</v>
      </c>
      <c r="BW9" s="3">
        <v>19.67801</v>
      </c>
      <c r="BX9" s="3">
        <v>32.83428</v>
      </c>
      <c r="BY9" s="3">
        <v>31.362680000000001</v>
      </c>
      <c r="BZ9" s="3">
        <v>24.236499999999999</v>
      </c>
      <c r="CA9" s="3">
        <v>23.461269999999999</v>
      </c>
      <c r="CB9" s="3">
        <v>51.947740000000003</v>
      </c>
      <c r="CC9" s="3">
        <v>32.17295</v>
      </c>
      <c r="CD9" s="3">
        <v>20.118760000000002</v>
      </c>
      <c r="CE9" s="3">
        <v>25.42867</v>
      </c>
      <c r="CF9" s="3">
        <v>19.55781</v>
      </c>
      <c r="CG9" s="3">
        <v>59.04345</v>
      </c>
      <c r="CH9" s="3">
        <v>58.350560000000002</v>
      </c>
      <c r="CI9" s="3">
        <v>53.29504</v>
      </c>
      <c r="CJ9" s="3">
        <v>60.78248</v>
      </c>
      <c r="CK9" s="3">
        <v>95.374309999999994</v>
      </c>
      <c r="CL9" s="3">
        <v>68.872579999999999</v>
      </c>
      <c r="CM9" s="3">
        <v>58.626130000000003</v>
      </c>
      <c r="CN9" s="3">
        <v>49.70628</v>
      </c>
      <c r="CO9" s="3">
        <v>45.928820000000002</v>
      </c>
      <c r="CP9" s="3">
        <v>48.68656</v>
      </c>
      <c r="CQ9" s="3">
        <v>56.690469999999998</v>
      </c>
      <c r="CR9" s="3">
        <v>55.411589999999997</v>
      </c>
      <c r="CS9" s="3">
        <v>55.996839999999999</v>
      </c>
      <c r="CT9" s="3">
        <v>89.914699999999996</v>
      </c>
      <c r="CU9" s="3">
        <v>65.191479999999999</v>
      </c>
      <c r="CV9" s="3">
        <v>47.09272</v>
      </c>
      <c r="CW9" s="3">
        <v>50.4557</v>
      </c>
      <c r="CX9" s="3">
        <v>37.209760000000003</v>
      </c>
      <c r="CY9" s="3">
        <v>30.22542</v>
      </c>
      <c r="CZ9" s="3">
        <v>46.41178</v>
      </c>
      <c r="DA9" s="3">
        <v>62.423720000000003</v>
      </c>
      <c r="DB9" s="3">
        <v>53.798349999999999</v>
      </c>
      <c r="DC9" s="3">
        <v>76.573759999999993</v>
      </c>
      <c r="DD9" s="3">
        <v>62.980899999999998</v>
      </c>
      <c r="DE9" s="3">
        <v>50.153100000000002</v>
      </c>
      <c r="DF9" s="3">
        <v>52.16469</v>
      </c>
      <c r="DG9" s="3">
        <v>42.124470000000002</v>
      </c>
    </row>
    <row r="10" spans="1:111" x14ac:dyDescent="0.2">
      <c r="A10" s="3">
        <v>1</v>
      </c>
      <c r="B10" s="4" t="s">
        <v>117</v>
      </c>
      <c r="C10" s="3">
        <v>32</v>
      </c>
      <c r="D10" s="3">
        <v>22.617059999999999</v>
      </c>
      <c r="E10" s="3">
        <v>30.780090000000001</v>
      </c>
      <c r="F10" s="3">
        <v>35.398409999999998</v>
      </c>
      <c r="G10" s="3">
        <v>33.435169999999999</v>
      </c>
      <c r="H10" s="3">
        <v>79.347759999999994</v>
      </c>
      <c r="I10" s="3">
        <v>47.933570000000003</v>
      </c>
      <c r="J10" s="3">
        <v>51.082279999999997</v>
      </c>
      <c r="K10" s="3">
        <v>59.191029999999998</v>
      </c>
      <c r="L10" s="3">
        <v>37.456290000000003</v>
      </c>
      <c r="M10" s="3">
        <v>25.6099</v>
      </c>
      <c r="N10" s="3">
        <v>26.570630000000001</v>
      </c>
      <c r="O10" s="3">
        <v>41.191749999999999</v>
      </c>
      <c r="P10" s="3">
        <v>30.447379999999999</v>
      </c>
      <c r="Q10" s="3">
        <v>65.552260000000004</v>
      </c>
      <c r="R10" s="3">
        <v>40.624789999999997</v>
      </c>
      <c r="S10" s="3">
        <v>33.211320000000001</v>
      </c>
      <c r="T10" s="3">
        <v>35.677990000000001</v>
      </c>
      <c r="U10" s="3">
        <v>34.228859999999997</v>
      </c>
      <c r="V10" s="3">
        <v>60.714599999999997</v>
      </c>
      <c r="W10" s="3">
        <v>70.390559999999994</v>
      </c>
      <c r="X10" s="3">
        <v>67.186269999999993</v>
      </c>
      <c r="Y10" s="3">
        <v>76.276349999999994</v>
      </c>
      <c r="Z10" s="3">
        <v>97.384379999999993</v>
      </c>
      <c r="AA10" s="3">
        <v>77.065520000000006</v>
      </c>
      <c r="AB10" s="3">
        <v>71.75488</v>
      </c>
      <c r="AC10" s="3">
        <v>77.840429999999998</v>
      </c>
      <c r="AD10" s="3">
        <v>71.569050000000004</v>
      </c>
      <c r="AE10" s="3">
        <v>27.927569999999999</v>
      </c>
      <c r="AF10" s="3">
        <v>26.873090000000001</v>
      </c>
      <c r="AG10" s="3">
        <v>30.946100000000001</v>
      </c>
      <c r="AH10" s="3">
        <v>25.802150000000001</v>
      </c>
      <c r="AI10" s="3">
        <v>74.716859999999997</v>
      </c>
      <c r="AJ10" s="3">
        <v>37.114490000000004</v>
      </c>
      <c r="AK10" s="3">
        <v>34.685589999999998</v>
      </c>
      <c r="AL10" s="3">
        <v>25.555</v>
      </c>
      <c r="AM10" s="3">
        <v>18.399049999999999</v>
      </c>
      <c r="AN10" s="3">
        <v>60.012560000000001</v>
      </c>
      <c r="AO10" s="3">
        <v>59.949179999999998</v>
      </c>
      <c r="AP10" s="3">
        <v>59.05171</v>
      </c>
      <c r="AQ10" s="3">
        <v>74.695490000000007</v>
      </c>
      <c r="AR10" s="3">
        <v>93.593469999999996</v>
      </c>
      <c r="AS10" s="3">
        <v>78.771510000000006</v>
      </c>
      <c r="AT10" s="3">
        <v>56.105420000000002</v>
      </c>
      <c r="AU10" s="3">
        <v>59.325150000000001</v>
      </c>
      <c r="AV10" s="3">
        <v>77.366619999999998</v>
      </c>
      <c r="AW10" s="3">
        <v>53.333480000000002</v>
      </c>
      <c r="AX10" s="3">
        <v>54.310600000000001</v>
      </c>
      <c r="AY10" s="3">
        <v>71.308459999999997</v>
      </c>
      <c r="AZ10" s="3">
        <v>59.295929999999998</v>
      </c>
      <c r="BA10" s="3">
        <v>87.362319999999997</v>
      </c>
      <c r="BB10" s="3">
        <v>57.298259999999999</v>
      </c>
      <c r="BC10" s="3">
        <v>64.236710000000002</v>
      </c>
      <c r="BD10" s="3">
        <v>60.875149999999998</v>
      </c>
      <c r="BE10" s="3">
        <v>46.02075</v>
      </c>
      <c r="BF10" s="3">
        <v>78.722549999999998</v>
      </c>
      <c r="BG10" s="3">
        <v>81.049700000000001</v>
      </c>
      <c r="BH10" s="3">
        <v>77.157039999999995</v>
      </c>
      <c r="BI10" s="3">
        <v>83.96566</v>
      </c>
      <c r="BJ10" s="3">
        <v>98.873390000000001</v>
      </c>
      <c r="BK10" s="3">
        <v>85.216750000000005</v>
      </c>
      <c r="BL10" s="3">
        <v>89.503249999999994</v>
      </c>
      <c r="BM10" s="3">
        <v>92.550939999999997</v>
      </c>
      <c r="BN10" s="3">
        <v>87.576890000000006</v>
      </c>
      <c r="BO10" s="3">
        <v>39.660249999999998</v>
      </c>
      <c r="BP10" s="3">
        <v>40.2455</v>
      </c>
      <c r="BQ10" s="3">
        <v>39.175800000000002</v>
      </c>
      <c r="BR10" s="3">
        <v>43.410870000000003</v>
      </c>
      <c r="BS10" s="3">
        <v>70.769019999999998</v>
      </c>
      <c r="BT10" s="3">
        <v>42.192410000000002</v>
      </c>
      <c r="BU10" s="3">
        <v>49.21022</v>
      </c>
      <c r="BV10" s="3">
        <v>36.821190000000001</v>
      </c>
      <c r="BW10" s="3">
        <v>22.943750000000001</v>
      </c>
      <c r="BX10" s="3">
        <v>36.406660000000002</v>
      </c>
      <c r="BY10" s="3">
        <v>36.53546</v>
      </c>
      <c r="BZ10" s="3">
        <v>27.02045</v>
      </c>
      <c r="CA10" s="3">
        <v>29.574339999999999</v>
      </c>
      <c r="CB10" s="3">
        <v>63.350279999999998</v>
      </c>
      <c r="CC10" s="3">
        <v>39.720959999999998</v>
      </c>
      <c r="CD10" s="3">
        <v>25.25808</v>
      </c>
      <c r="CE10" s="3">
        <v>28.378830000000001</v>
      </c>
      <c r="CF10" s="3">
        <v>21.212569999999999</v>
      </c>
      <c r="CG10" s="3">
        <v>75.345749999999995</v>
      </c>
      <c r="CH10" s="3">
        <v>70.726680000000002</v>
      </c>
      <c r="CI10" s="3">
        <v>67.698040000000006</v>
      </c>
      <c r="CJ10" s="3">
        <v>70.93074</v>
      </c>
      <c r="CK10" s="3">
        <v>96.701260000000005</v>
      </c>
      <c r="CL10" s="3">
        <v>75.588319999999996</v>
      </c>
      <c r="CM10" s="3">
        <v>73.674800000000005</v>
      </c>
      <c r="CN10" s="3">
        <v>63.347909999999999</v>
      </c>
      <c r="CO10" s="3">
        <v>46.432130000000001</v>
      </c>
      <c r="CP10" s="3">
        <v>59.289769999999997</v>
      </c>
      <c r="CQ10" s="3">
        <v>68.586299999999994</v>
      </c>
      <c r="CR10" s="3">
        <v>67.547939999999997</v>
      </c>
      <c r="CS10" s="3">
        <v>68.3352</v>
      </c>
      <c r="CT10" s="3">
        <v>95.330529999999996</v>
      </c>
      <c r="CU10" s="3">
        <v>78.401499999999999</v>
      </c>
      <c r="CV10" s="3">
        <v>56.130009999999999</v>
      </c>
      <c r="CW10" s="3">
        <v>62.127740000000003</v>
      </c>
      <c r="CX10" s="3">
        <v>45.473730000000003</v>
      </c>
      <c r="CY10" s="3">
        <v>38.781619999999997</v>
      </c>
      <c r="CZ10" s="3">
        <v>57.614319999999999</v>
      </c>
      <c r="DA10" s="3">
        <v>74.124099999999999</v>
      </c>
      <c r="DB10" s="3">
        <v>66.969790000000003</v>
      </c>
      <c r="DC10" s="3">
        <v>89.053619999999995</v>
      </c>
      <c r="DD10" s="3">
        <v>72.188109999999995</v>
      </c>
      <c r="DE10" s="3">
        <v>60.297609999999999</v>
      </c>
      <c r="DF10" s="3">
        <v>62.475070000000002</v>
      </c>
      <c r="DG10" s="3">
        <v>51.567070000000001</v>
      </c>
    </row>
    <row r="11" spans="1:111" x14ac:dyDescent="0.2">
      <c r="A11" s="3">
        <v>1</v>
      </c>
      <c r="B11" s="4" t="s">
        <v>117</v>
      </c>
      <c r="C11" s="3">
        <v>36</v>
      </c>
      <c r="D11" s="3">
        <v>26.712879999999998</v>
      </c>
      <c r="E11" s="3">
        <v>34.064959999999999</v>
      </c>
      <c r="F11" s="3">
        <v>38.748420000000003</v>
      </c>
      <c r="G11" s="3">
        <v>37.972369999999998</v>
      </c>
      <c r="H11" s="3">
        <v>81.64725</v>
      </c>
      <c r="I11" s="3">
        <v>52.899430000000002</v>
      </c>
      <c r="J11" s="3">
        <v>57.348590000000002</v>
      </c>
      <c r="K11" s="3">
        <v>66.310569999999998</v>
      </c>
      <c r="L11" s="3">
        <v>44.370629999999998</v>
      </c>
      <c r="M11" s="3">
        <v>28.83174</v>
      </c>
      <c r="N11" s="3">
        <v>31.584890000000001</v>
      </c>
      <c r="O11" s="3">
        <v>46.371139999999997</v>
      </c>
      <c r="P11" s="3">
        <v>33.08887</v>
      </c>
      <c r="Q11" s="3">
        <v>74.924940000000007</v>
      </c>
      <c r="R11" s="3">
        <v>45.652859999999997</v>
      </c>
      <c r="S11" s="3">
        <v>38.805860000000003</v>
      </c>
      <c r="T11" s="3">
        <v>39.374659999999999</v>
      </c>
      <c r="U11" s="3">
        <v>36.894869999999997</v>
      </c>
      <c r="V11" s="3">
        <v>66.935230000000004</v>
      </c>
      <c r="W11" s="3">
        <v>75.064059999999998</v>
      </c>
      <c r="X11" s="3">
        <v>75.79025</v>
      </c>
      <c r="Y11" s="3">
        <v>84.475999999999999</v>
      </c>
      <c r="Z11" s="3">
        <v>98.083129999999997</v>
      </c>
      <c r="AA11" s="3">
        <v>83.169520000000006</v>
      </c>
      <c r="AB11" s="3">
        <v>81.123040000000003</v>
      </c>
      <c r="AC11" s="3">
        <v>86.543850000000006</v>
      </c>
      <c r="AD11" s="3">
        <v>79.775180000000006</v>
      </c>
      <c r="AE11" s="3">
        <v>30.896999999999998</v>
      </c>
      <c r="AF11" s="3">
        <v>29.49061</v>
      </c>
      <c r="AG11" s="3">
        <v>33.830440000000003</v>
      </c>
      <c r="AH11" s="3">
        <v>29.27797</v>
      </c>
      <c r="AI11" s="3">
        <v>79.623859999999993</v>
      </c>
      <c r="AJ11" s="3">
        <v>43.744050000000001</v>
      </c>
      <c r="AK11" s="3">
        <v>41.05885</v>
      </c>
      <c r="AL11" s="3">
        <v>30.50562</v>
      </c>
      <c r="AM11" s="3">
        <v>19.96339</v>
      </c>
      <c r="AN11" s="3">
        <v>68.088390000000004</v>
      </c>
      <c r="AO11" s="3">
        <v>69.088170000000005</v>
      </c>
      <c r="AP11" s="3">
        <v>70.060370000000006</v>
      </c>
      <c r="AQ11" s="3">
        <v>83.880769999999998</v>
      </c>
      <c r="AR11" s="3">
        <v>96.519880000000001</v>
      </c>
      <c r="AS11" s="3">
        <v>87.388819999999996</v>
      </c>
      <c r="AT11" s="3">
        <v>64.672269999999997</v>
      </c>
      <c r="AU11" s="3">
        <v>69.374870000000001</v>
      </c>
      <c r="AV11" s="3">
        <v>85.198869999999999</v>
      </c>
      <c r="AW11" s="3">
        <v>60.209580000000003</v>
      </c>
      <c r="AX11" s="3">
        <v>63.323860000000003</v>
      </c>
      <c r="AY11" s="3">
        <v>78.564319999999995</v>
      </c>
      <c r="AZ11" s="3">
        <v>67.691699999999997</v>
      </c>
      <c r="BA11" s="3">
        <v>91.558679999999995</v>
      </c>
      <c r="BB11" s="3">
        <v>71.430289999999999</v>
      </c>
      <c r="BC11" s="3">
        <v>74.514049999999997</v>
      </c>
      <c r="BD11" s="3">
        <v>70.802480000000003</v>
      </c>
      <c r="BE11" s="3">
        <v>53.910890000000002</v>
      </c>
      <c r="BF11" s="3">
        <v>90.569540000000003</v>
      </c>
      <c r="BG11" s="3">
        <v>90.02458</v>
      </c>
      <c r="BH11" s="3">
        <v>87.242810000000006</v>
      </c>
      <c r="BI11" s="3">
        <v>91.58278</v>
      </c>
      <c r="BJ11" s="3">
        <v>99.631569999999996</v>
      </c>
      <c r="BK11" s="3">
        <v>93.221900000000005</v>
      </c>
      <c r="BL11" s="3">
        <v>95.184309999999996</v>
      </c>
      <c r="BM11" s="3">
        <v>97.000309999999999</v>
      </c>
      <c r="BN11" s="3">
        <v>91.973950000000002</v>
      </c>
      <c r="BO11" s="3">
        <v>48.521909999999998</v>
      </c>
      <c r="BP11" s="3">
        <v>50.141289999999998</v>
      </c>
      <c r="BQ11" s="3">
        <v>43.948790000000002</v>
      </c>
      <c r="BR11" s="3">
        <v>54.978549999999998</v>
      </c>
      <c r="BS11" s="3">
        <v>81.031880000000001</v>
      </c>
      <c r="BT11" s="3">
        <v>51.25996</v>
      </c>
      <c r="BU11" s="3">
        <v>56.791690000000003</v>
      </c>
      <c r="BV11" s="3">
        <v>45.480499999999999</v>
      </c>
      <c r="BW11" s="3">
        <v>28.999189999999999</v>
      </c>
      <c r="BX11" s="3">
        <v>41.485599999999998</v>
      </c>
      <c r="BY11" s="3">
        <v>43.725270000000002</v>
      </c>
      <c r="BZ11" s="3">
        <v>33.531669999999998</v>
      </c>
      <c r="CA11" s="3">
        <v>33.025089999999999</v>
      </c>
      <c r="CB11" s="3">
        <v>70.233279999999993</v>
      </c>
      <c r="CC11" s="3">
        <v>44.94285</v>
      </c>
      <c r="CD11" s="3">
        <v>30.326160000000002</v>
      </c>
      <c r="CE11" s="3">
        <v>33.164670000000001</v>
      </c>
      <c r="CF11" s="3">
        <v>26.090070000000001</v>
      </c>
      <c r="CG11" s="3">
        <v>77.884960000000007</v>
      </c>
      <c r="CH11" s="3">
        <v>74.468689999999995</v>
      </c>
      <c r="CI11" s="3">
        <v>75.093969999999999</v>
      </c>
      <c r="CJ11" s="3">
        <v>78.25864</v>
      </c>
      <c r="CK11" s="3">
        <v>97.387730000000005</v>
      </c>
      <c r="CL11" s="3">
        <v>83.345569999999995</v>
      </c>
      <c r="CM11" s="3">
        <v>75.796679999999995</v>
      </c>
      <c r="CN11" s="3">
        <v>73.942509999999999</v>
      </c>
      <c r="CO11" s="3">
        <v>51.087730000000001</v>
      </c>
      <c r="CP11" s="3">
        <v>66.991979999999998</v>
      </c>
      <c r="CQ11" s="3">
        <v>77.105549999999994</v>
      </c>
      <c r="CR11" s="3">
        <v>76.096549999999993</v>
      </c>
      <c r="CS11" s="3">
        <v>77.40446</v>
      </c>
      <c r="CT11" s="3">
        <v>97.558790000000002</v>
      </c>
      <c r="CU11" s="3">
        <v>86.800560000000004</v>
      </c>
      <c r="CV11" s="3">
        <v>66.887079999999997</v>
      </c>
      <c r="CW11" s="3">
        <v>69.157830000000004</v>
      </c>
      <c r="CX11" s="3">
        <v>56.288580000000003</v>
      </c>
      <c r="CY11" s="3">
        <v>44.383470000000003</v>
      </c>
      <c r="CZ11" s="3">
        <v>67.170630000000003</v>
      </c>
      <c r="DA11" s="3">
        <v>81.801720000000003</v>
      </c>
      <c r="DB11" s="3">
        <v>76.675169999999994</v>
      </c>
      <c r="DC11" s="3">
        <v>95.699299999999994</v>
      </c>
      <c r="DD11" s="3">
        <v>85.92998</v>
      </c>
      <c r="DE11" s="3">
        <v>70.137529999999998</v>
      </c>
      <c r="DF11" s="3">
        <v>71.949839999999995</v>
      </c>
      <c r="DG11" s="3">
        <v>62.816670000000002</v>
      </c>
    </row>
    <row r="12" spans="1:111" x14ac:dyDescent="0.2">
      <c r="A12" s="3">
        <v>1</v>
      </c>
      <c r="B12" s="4" t="s">
        <v>117</v>
      </c>
      <c r="C12" s="3">
        <v>40</v>
      </c>
      <c r="D12" s="3">
        <v>29.638470000000002</v>
      </c>
      <c r="E12" s="3">
        <v>37.437440000000002</v>
      </c>
      <c r="F12" s="3">
        <v>42.312269999999998</v>
      </c>
      <c r="G12" s="3">
        <v>40.760069999999999</v>
      </c>
      <c r="H12" s="3">
        <v>87.008579999999995</v>
      </c>
      <c r="I12" s="3">
        <v>59.686129999999999</v>
      </c>
      <c r="J12" s="3">
        <v>63.014299999999999</v>
      </c>
      <c r="K12" s="3">
        <v>74.004519999999999</v>
      </c>
      <c r="L12" s="3">
        <v>49.888820000000003</v>
      </c>
      <c r="M12" s="3">
        <v>31.794409999999999</v>
      </c>
      <c r="N12" s="3">
        <v>32.32347</v>
      </c>
      <c r="O12" s="3">
        <v>46.548630000000003</v>
      </c>
      <c r="P12" s="3">
        <v>35.075879999999998</v>
      </c>
      <c r="Q12" s="3">
        <v>76.754739999999998</v>
      </c>
      <c r="R12" s="3">
        <v>51.409930000000003</v>
      </c>
      <c r="S12" s="3">
        <v>41.893300000000004</v>
      </c>
      <c r="T12" s="3">
        <v>43.211039999999997</v>
      </c>
      <c r="U12" s="3">
        <v>38.988950000000003</v>
      </c>
      <c r="V12" s="3">
        <v>76.322040000000001</v>
      </c>
      <c r="W12" s="3">
        <v>82.199309999999997</v>
      </c>
      <c r="X12" s="3">
        <v>82.633780000000002</v>
      </c>
      <c r="Y12" s="3">
        <v>89.321179999999998</v>
      </c>
      <c r="Z12" s="3">
        <v>98.239040000000003</v>
      </c>
      <c r="AA12" s="3">
        <v>87.936779999999999</v>
      </c>
      <c r="AB12" s="3">
        <v>86.741969999999995</v>
      </c>
      <c r="AC12" s="3">
        <v>88.398219999999995</v>
      </c>
      <c r="AD12" s="3">
        <v>86.801590000000004</v>
      </c>
      <c r="AE12" s="3">
        <v>32.379330000000003</v>
      </c>
      <c r="AF12" s="3">
        <v>32.231200000000001</v>
      </c>
      <c r="AG12" s="3">
        <v>36.658859999999997</v>
      </c>
      <c r="AH12" s="3">
        <v>33.97992</v>
      </c>
      <c r="AI12" s="3">
        <v>83.442279999999997</v>
      </c>
      <c r="AJ12" s="3">
        <v>48.239190000000001</v>
      </c>
      <c r="AK12" s="3">
        <v>45.901919999999997</v>
      </c>
      <c r="AL12" s="3">
        <v>34.149639999999998</v>
      </c>
      <c r="AM12" s="3">
        <v>23.21433</v>
      </c>
      <c r="AN12" s="3">
        <v>75.952789999999993</v>
      </c>
      <c r="AO12" s="3">
        <v>75.670270000000002</v>
      </c>
      <c r="AP12" s="3">
        <v>77.628659999999996</v>
      </c>
      <c r="AQ12" s="3">
        <v>89.809049999999999</v>
      </c>
      <c r="AR12" s="3">
        <v>98.289100000000005</v>
      </c>
      <c r="AS12" s="3">
        <v>92.868030000000005</v>
      </c>
      <c r="AT12" s="3">
        <v>73.43571</v>
      </c>
      <c r="AU12" s="3">
        <v>75.538480000000007</v>
      </c>
      <c r="AV12" s="3">
        <v>89.600629999999995</v>
      </c>
      <c r="AW12" s="3">
        <v>66.51688</v>
      </c>
      <c r="AX12" s="3">
        <v>71.778369999999995</v>
      </c>
      <c r="AY12" s="3">
        <v>86.56523</v>
      </c>
      <c r="AZ12" s="3">
        <v>77.887690000000006</v>
      </c>
      <c r="BA12" s="3">
        <v>94.742339999999999</v>
      </c>
      <c r="BB12" s="3">
        <v>77.941019999999995</v>
      </c>
      <c r="BC12" s="3">
        <v>80.89188</v>
      </c>
      <c r="BD12" s="3">
        <v>75.44914</v>
      </c>
      <c r="BE12" s="3">
        <v>60.465389999999999</v>
      </c>
      <c r="BF12" s="3">
        <v>94.014349999999993</v>
      </c>
      <c r="BG12" s="3">
        <v>95.206440000000001</v>
      </c>
      <c r="BH12" s="3">
        <v>91.271100000000004</v>
      </c>
      <c r="BI12" s="3">
        <v>94.320430000000002</v>
      </c>
      <c r="BJ12" s="3">
        <v>99.829260000000005</v>
      </c>
      <c r="BK12" s="3">
        <v>96.567750000000004</v>
      </c>
      <c r="BL12" s="3">
        <v>96.616039999999998</v>
      </c>
      <c r="BM12" s="3">
        <v>97.783600000000007</v>
      </c>
      <c r="BN12" s="3">
        <v>95.518870000000007</v>
      </c>
      <c r="BO12" s="3">
        <v>54.138030000000001</v>
      </c>
      <c r="BP12" s="3">
        <v>56.390270000000001</v>
      </c>
      <c r="BQ12" s="3">
        <v>51.475969999999997</v>
      </c>
      <c r="BR12" s="3">
        <v>63.785310000000003</v>
      </c>
      <c r="BS12" s="3">
        <v>87.143100000000004</v>
      </c>
      <c r="BT12" s="3">
        <v>61.51934</v>
      </c>
      <c r="BU12" s="3">
        <v>68.158869999999993</v>
      </c>
      <c r="BV12" s="3">
        <v>50.73659</v>
      </c>
      <c r="BW12" s="3">
        <v>33.027070000000002</v>
      </c>
      <c r="BX12" s="3">
        <v>47.330030000000001</v>
      </c>
      <c r="BY12" s="3">
        <v>43.135379999999998</v>
      </c>
      <c r="BZ12" s="3">
        <v>32.599290000000003</v>
      </c>
      <c r="CA12" s="3">
        <v>37.222529999999999</v>
      </c>
      <c r="CB12" s="3">
        <v>75.212729999999993</v>
      </c>
      <c r="CC12" s="3">
        <v>50.01202</v>
      </c>
      <c r="CD12" s="3">
        <v>31.664180000000002</v>
      </c>
      <c r="CE12" s="3">
        <v>35.262309999999999</v>
      </c>
      <c r="CF12" s="3">
        <v>27.76135</v>
      </c>
      <c r="CG12" s="3">
        <v>79.876530000000002</v>
      </c>
      <c r="CH12" s="3">
        <v>80.751410000000007</v>
      </c>
      <c r="CI12" s="3">
        <v>81.375110000000006</v>
      </c>
      <c r="CJ12" s="3">
        <v>81.318349999999995</v>
      </c>
      <c r="CK12" s="3">
        <v>97.704729999999998</v>
      </c>
      <c r="CL12" s="3">
        <v>83.911090000000002</v>
      </c>
      <c r="CM12" s="3">
        <v>78.662180000000006</v>
      </c>
      <c r="CN12" s="3">
        <v>77.070639999999997</v>
      </c>
      <c r="CO12" s="3">
        <v>48.815480000000001</v>
      </c>
      <c r="CP12" s="3">
        <v>75.811160000000001</v>
      </c>
      <c r="CQ12" s="3">
        <v>88.016009999999994</v>
      </c>
      <c r="CR12" s="3">
        <v>82.450479999999999</v>
      </c>
      <c r="CS12" s="3">
        <v>87.013829999999999</v>
      </c>
      <c r="CT12" s="3">
        <v>98.792540000000002</v>
      </c>
      <c r="CU12" s="3">
        <v>93.739140000000006</v>
      </c>
      <c r="CV12" s="3">
        <v>74.110439999999997</v>
      </c>
      <c r="CW12" s="3">
        <v>79.964619999999996</v>
      </c>
      <c r="CX12" s="3">
        <v>66.730419999999995</v>
      </c>
      <c r="CY12" s="3">
        <v>52.522399999999998</v>
      </c>
      <c r="CZ12" s="3">
        <v>72.74024</v>
      </c>
      <c r="DA12" s="3">
        <v>87.579759999999993</v>
      </c>
      <c r="DB12" s="3">
        <v>83.77704</v>
      </c>
      <c r="DC12" s="3">
        <v>96.909760000000006</v>
      </c>
      <c r="DD12" s="3">
        <v>91.834689999999995</v>
      </c>
      <c r="DE12" s="3">
        <v>75.792310000000001</v>
      </c>
      <c r="DF12" s="3">
        <v>80.379890000000003</v>
      </c>
      <c r="DG12" s="3">
        <v>73.813370000000006</v>
      </c>
    </row>
    <row r="13" spans="1:111" x14ac:dyDescent="0.2">
      <c r="A13" s="3">
        <v>1</v>
      </c>
      <c r="B13" s="4" t="s">
        <v>117</v>
      </c>
      <c r="C13" s="3">
        <v>44</v>
      </c>
      <c r="D13" s="3">
        <v>32.331600000000002</v>
      </c>
      <c r="E13" s="3">
        <v>40.864089999999997</v>
      </c>
      <c r="F13" s="3">
        <v>50.696429999999999</v>
      </c>
      <c r="G13" s="3">
        <v>47.396189999999997</v>
      </c>
      <c r="H13" s="3">
        <v>89.951509999999999</v>
      </c>
      <c r="I13" s="3">
        <v>65.071010000000001</v>
      </c>
      <c r="J13" s="3">
        <v>70.047120000000007</v>
      </c>
      <c r="K13" s="3">
        <v>77.387860000000003</v>
      </c>
      <c r="L13" s="3">
        <v>54.009099999999997</v>
      </c>
      <c r="M13" s="3">
        <v>31.09074</v>
      </c>
      <c r="N13" s="3">
        <v>37.603810000000003</v>
      </c>
      <c r="O13" s="3">
        <v>53.741120000000002</v>
      </c>
      <c r="P13" s="3">
        <v>40.427849999999999</v>
      </c>
      <c r="Q13" s="3">
        <v>77.213790000000003</v>
      </c>
      <c r="R13" s="3">
        <v>53.884880000000003</v>
      </c>
      <c r="S13" s="3">
        <v>44.549480000000003</v>
      </c>
      <c r="T13" s="3">
        <v>45.665700000000001</v>
      </c>
      <c r="U13" s="3">
        <v>42.04907</v>
      </c>
      <c r="V13" s="3">
        <v>78.487279999999998</v>
      </c>
      <c r="W13" s="3">
        <v>88.238500000000002</v>
      </c>
      <c r="X13" s="3">
        <v>89.555689999999998</v>
      </c>
      <c r="Y13" s="3">
        <v>87.972499999999997</v>
      </c>
      <c r="Z13" s="3">
        <v>98.430260000000004</v>
      </c>
      <c r="AA13" s="3">
        <v>89.231719999999996</v>
      </c>
      <c r="AB13" s="3">
        <v>91.027019999999993</v>
      </c>
      <c r="AC13" s="3">
        <v>87.801370000000006</v>
      </c>
      <c r="AD13" s="3">
        <v>88.206050000000005</v>
      </c>
      <c r="AE13" s="3">
        <v>38.532899999999998</v>
      </c>
      <c r="AF13" s="3">
        <v>36.747770000000003</v>
      </c>
      <c r="AG13" s="3">
        <v>44.93103</v>
      </c>
      <c r="AH13" s="3">
        <v>40.865169999999999</v>
      </c>
      <c r="AI13" s="3">
        <v>87.831620000000001</v>
      </c>
      <c r="AJ13" s="3">
        <v>56.39246</v>
      </c>
      <c r="AK13" s="3">
        <v>50.816890000000001</v>
      </c>
      <c r="AL13" s="3">
        <v>39.535690000000002</v>
      </c>
      <c r="AM13" s="3">
        <v>26.96603</v>
      </c>
      <c r="AN13" s="3">
        <v>85.390420000000006</v>
      </c>
      <c r="AO13" s="3">
        <v>84.843140000000005</v>
      </c>
      <c r="AP13" s="3">
        <f>AVERAGE(AP12,AP14)</f>
        <v>87.64085</v>
      </c>
      <c r="AQ13" s="3">
        <v>91.319040000000001</v>
      </c>
      <c r="AR13" s="3">
        <v>99.289630000000002</v>
      </c>
      <c r="AS13" s="3">
        <v>95.602249999999998</v>
      </c>
      <c r="AT13" s="3">
        <v>82.66225</v>
      </c>
      <c r="AU13" s="3">
        <v>83.855580000000003</v>
      </c>
      <c r="AV13" s="3">
        <v>93.985669999999999</v>
      </c>
      <c r="AW13" s="3">
        <v>76.599369999999993</v>
      </c>
      <c r="AX13" s="3">
        <v>82.378230000000002</v>
      </c>
      <c r="AY13" s="3">
        <v>92.357200000000006</v>
      </c>
      <c r="AZ13" s="3">
        <v>84.827910000000003</v>
      </c>
      <c r="BA13" s="3">
        <v>96.966229999999996</v>
      </c>
      <c r="BB13" s="3">
        <v>85.457139999999995</v>
      </c>
      <c r="BC13" s="3">
        <v>88.618530000000007</v>
      </c>
      <c r="BD13" s="3">
        <v>86.193659999999994</v>
      </c>
      <c r="BE13" s="3">
        <v>68.43141</v>
      </c>
      <c r="BF13" s="3">
        <v>96.35154</v>
      </c>
      <c r="BG13" s="3">
        <v>96.333169999999996</v>
      </c>
      <c r="BH13" s="3">
        <v>95.236490000000003</v>
      </c>
      <c r="BI13" s="3">
        <v>96.356049999999996</v>
      </c>
      <c r="BJ13" s="3">
        <v>99.906840000000003</v>
      </c>
      <c r="BK13" s="3">
        <v>98.477509999999995</v>
      </c>
      <c r="BL13" s="3">
        <v>96.446269999999998</v>
      </c>
      <c r="BM13" s="3">
        <v>99.214089999999999</v>
      </c>
      <c r="BN13" s="3">
        <v>97.824650000000005</v>
      </c>
      <c r="BO13" s="3">
        <v>59.321330000000003</v>
      </c>
      <c r="BP13" s="3">
        <v>68.871690000000001</v>
      </c>
      <c r="BQ13" s="3">
        <v>59.464179999999999</v>
      </c>
      <c r="BR13" s="3">
        <v>72.741540000000001</v>
      </c>
      <c r="BS13" s="3">
        <v>93.475260000000006</v>
      </c>
      <c r="BT13" s="3">
        <v>70.153919999999999</v>
      </c>
      <c r="BU13" s="3">
        <v>77.139960000000002</v>
      </c>
      <c r="BV13" s="3">
        <v>58.170679999999997</v>
      </c>
      <c r="BW13" s="3">
        <v>38.8904</v>
      </c>
      <c r="BX13" s="3">
        <v>49.101489999999998</v>
      </c>
      <c r="BY13" s="3">
        <v>49.787469999999999</v>
      </c>
      <c r="BZ13" s="3">
        <v>35.429690000000001</v>
      </c>
      <c r="CA13" s="3">
        <v>39.691809999999997</v>
      </c>
      <c r="CB13" s="3">
        <v>79.764600000000002</v>
      </c>
      <c r="CC13" s="3">
        <v>53.200809999999997</v>
      </c>
      <c r="CD13" s="3">
        <v>38.009990000000002</v>
      </c>
      <c r="CE13" s="3">
        <v>42.80574</v>
      </c>
      <c r="CF13" s="3">
        <v>32.490369999999999</v>
      </c>
      <c r="CG13" s="3">
        <v>82.844449999999995</v>
      </c>
      <c r="CH13" s="3">
        <v>83.180859999999996</v>
      </c>
      <c r="CI13" s="3">
        <v>80.271870000000007</v>
      </c>
      <c r="CJ13" s="3">
        <v>80.445049999999995</v>
      </c>
      <c r="CK13" s="3">
        <v>97.633240000000001</v>
      </c>
      <c r="CL13" s="3">
        <v>83.231120000000004</v>
      </c>
      <c r="CM13" s="3">
        <v>88.258780000000002</v>
      </c>
      <c r="CN13" s="3">
        <v>86.821789999999993</v>
      </c>
      <c r="CO13" s="3">
        <v>74.397800000000004</v>
      </c>
      <c r="CP13" s="3">
        <v>84.497919999999993</v>
      </c>
      <c r="CQ13" s="3">
        <v>91.422709999999995</v>
      </c>
      <c r="CR13" s="3">
        <v>90.411789999999996</v>
      </c>
      <c r="CS13" s="3">
        <v>92.122820000000004</v>
      </c>
      <c r="CT13" s="3">
        <v>99.467060000000004</v>
      </c>
      <c r="CU13" s="3">
        <v>96.475629999999995</v>
      </c>
      <c r="CV13" s="3">
        <v>83.922899999999998</v>
      </c>
      <c r="CW13" s="3">
        <v>88.22484</v>
      </c>
      <c r="CX13" s="3">
        <v>70.58887</v>
      </c>
      <c r="CY13" s="3">
        <v>61.808750000000003</v>
      </c>
      <c r="CZ13" s="3">
        <v>84.188699999999997</v>
      </c>
      <c r="DA13" s="3">
        <v>93.571759999999998</v>
      </c>
      <c r="DB13" s="3">
        <v>91.871510000000001</v>
      </c>
      <c r="DC13" s="3">
        <v>99.102720000000005</v>
      </c>
      <c r="DD13" s="3">
        <v>95.917209999999997</v>
      </c>
      <c r="DE13" s="3">
        <v>86.641909999999996</v>
      </c>
      <c r="DF13" s="3">
        <v>87.550870000000003</v>
      </c>
      <c r="DG13" s="3">
        <v>82.250870000000006</v>
      </c>
    </row>
    <row r="14" spans="1:111" x14ac:dyDescent="0.2">
      <c r="A14" s="3">
        <v>1</v>
      </c>
      <c r="B14" s="4" t="s">
        <v>117</v>
      </c>
      <c r="C14" s="3">
        <v>48</v>
      </c>
      <c r="D14" s="3">
        <v>46.297530000000002</v>
      </c>
      <c r="E14" s="3">
        <v>59.146160000000002</v>
      </c>
      <c r="F14" s="3">
        <v>67.078779999999995</v>
      </c>
      <c r="G14" s="3">
        <v>61.639249999999997</v>
      </c>
      <c r="H14" s="3">
        <v>96.140659999999997</v>
      </c>
      <c r="I14" s="3">
        <v>80.06241</v>
      </c>
      <c r="J14" s="3">
        <v>82.528880000000001</v>
      </c>
      <c r="K14" s="3">
        <v>89.629519999999999</v>
      </c>
      <c r="L14" s="3">
        <v>70.387479999999996</v>
      </c>
      <c r="M14" s="3">
        <v>49.374369999999999</v>
      </c>
      <c r="N14" s="3">
        <v>57.475610000000003</v>
      </c>
      <c r="O14" s="3">
        <v>80.366380000000007</v>
      </c>
      <c r="P14" s="3">
        <v>60.902880000000003</v>
      </c>
      <c r="Q14" s="3">
        <v>92.696879999999993</v>
      </c>
      <c r="R14" s="3">
        <v>76.078109999999995</v>
      </c>
      <c r="S14" s="3">
        <v>61.606340000000003</v>
      </c>
      <c r="T14" s="3">
        <v>69.897970000000001</v>
      </c>
      <c r="U14" s="3">
        <v>64.422799999999995</v>
      </c>
      <c r="V14" s="3">
        <v>93.825810000000004</v>
      </c>
      <c r="W14" s="3">
        <v>95.869190000000003</v>
      </c>
      <c r="X14" s="3">
        <v>94.39179</v>
      </c>
      <c r="Y14" s="3">
        <v>98.087299999999999</v>
      </c>
      <c r="Z14" s="3">
        <v>99.754149999999996</v>
      </c>
      <c r="AA14" s="3">
        <v>96.578749999999999</v>
      </c>
      <c r="AB14" s="3">
        <v>97.088539999999995</v>
      </c>
      <c r="AC14" s="3">
        <v>97.064580000000007</v>
      </c>
      <c r="AD14" s="3">
        <v>96.569950000000006</v>
      </c>
      <c r="AE14" s="3">
        <v>52.578670000000002</v>
      </c>
      <c r="AF14" s="3">
        <v>52.685139999999997</v>
      </c>
      <c r="AG14" s="3">
        <v>63.491309999999999</v>
      </c>
      <c r="AH14" s="3">
        <v>54.952599999999997</v>
      </c>
      <c r="AI14" s="3">
        <v>96.602779999999996</v>
      </c>
      <c r="AJ14" s="3">
        <v>72.990799999999993</v>
      </c>
      <c r="AK14" s="3">
        <v>69.144310000000004</v>
      </c>
      <c r="AL14" s="3">
        <v>52.518990000000002</v>
      </c>
      <c r="AM14" s="3">
        <v>37.609670000000001</v>
      </c>
      <c r="AN14" s="3">
        <v>96.469610000000003</v>
      </c>
      <c r="AO14" s="3">
        <v>96.651150000000001</v>
      </c>
      <c r="AP14" s="3">
        <v>97.653040000000004</v>
      </c>
      <c r="AQ14" s="3">
        <v>99.05471</v>
      </c>
      <c r="AR14" s="3">
        <v>99.87679</v>
      </c>
      <c r="AS14" s="3">
        <v>99.44171</v>
      </c>
      <c r="AT14" s="3">
        <v>95.873170000000002</v>
      </c>
      <c r="AU14" s="3">
        <v>95.041510000000002</v>
      </c>
      <c r="AV14" s="3">
        <v>99.033940000000001</v>
      </c>
      <c r="AW14" s="3">
        <v>93.547160000000005</v>
      </c>
      <c r="AX14" s="3">
        <v>95.881360000000001</v>
      </c>
      <c r="AY14" s="3">
        <v>99.067819999999998</v>
      </c>
      <c r="AZ14" s="3">
        <v>97.165509999999998</v>
      </c>
      <c r="BA14" s="3">
        <v>99.511709999999994</v>
      </c>
      <c r="BB14" s="3">
        <v>96.895070000000004</v>
      </c>
      <c r="BC14" s="3">
        <v>96.825959999999995</v>
      </c>
      <c r="BD14" s="3">
        <v>96.555729999999997</v>
      </c>
      <c r="BE14" s="3">
        <v>86.617540000000005</v>
      </c>
      <c r="BF14" s="3">
        <v>99.595309999999998</v>
      </c>
      <c r="BG14" s="3">
        <v>99.703950000000006</v>
      </c>
      <c r="BH14" s="3">
        <v>99.305000000000007</v>
      </c>
      <c r="BI14" s="3">
        <v>99.884450000000001</v>
      </c>
      <c r="BJ14" s="3">
        <v>99.993430000000004</v>
      </c>
      <c r="BK14" s="3">
        <v>99.693640000000002</v>
      </c>
      <c r="BL14" s="3">
        <v>99.841970000000003</v>
      </c>
      <c r="BM14" s="3">
        <v>99.898169999999993</v>
      </c>
      <c r="BN14" s="3">
        <v>99.564499999999995</v>
      </c>
      <c r="BO14" s="3">
        <v>83.455250000000007</v>
      </c>
      <c r="BP14" s="3">
        <v>86.405150000000006</v>
      </c>
      <c r="BQ14" s="3">
        <v>80.050060000000002</v>
      </c>
      <c r="BR14" s="3">
        <v>89.904390000000006</v>
      </c>
      <c r="BS14" s="3">
        <v>97.825680000000006</v>
      </c>
      <c r="BT14" s="3">
        <v>88.615260000000006</v>
      </c>
      <c r="BU14" s="3">
        <v>93.024540000000002</v>
      </c>
      <c r="BV14" s="3">
        <v>82.570750000000004</v>
      </c>
      <c r="BW14" s="3">
        <v>57.420369999999998</v>
      </c>
      <c r="BX14" s="3">
        <v>70.993560000000002</v>
      </c>
      <c r="BY14" s="3">
        <v>67.596350000000001</v>
      </c>
      <c r="BZ14" s="3">
        <v>52.763260000000002</v>
      </c>
      <c r="CA14" s="3">
        <v>62.918349999999997</v>
      </c>
      <c r="CB14" s="3">
        <v>89.582880000000003</v>
      </c>
      <c r="CC14" s="3">
        <v>71.177539999999993</v>
      </c>
      <c r="CD14" s="3">
        <v>54.47504</v>
      </c>
      <c r="CE14" s="3">
        <v>58.659100000000002</v>
      </c>
      <c r="CF14" s="3">
        <v>45.912089999999999</v>
      </c>
      <c r="CG14" s="3">
        <v>94.866069999999993</v>
      </c>
      <c r="CH14" s="3">
        <v>95.831580000000002</v>
      </c>
      <c r="CI14" s="3">
        <v>94.957930000000005</v>
      </c>
      <c r="CJ14" s="3">
        <v>95.760279999999995</v>
      </c>
      <c r="CK14" s="3">
        <v>99.822299999999998</v>
      </c>
      <c r="CL14" s="3">
        <v>96.838390000000004</v>
      </c>
      <c r="CM14" s="3">
        <v>96.670599999999993</v>
      </c>
      <c r="CN14" s="3">
        <v>96.032359999999997</v>
      </c>
      <c r="CO14" s="3">
        <v>92.798900000000003</v>
      </c>
      <c r="CP14" s="3">
        <v>96.787379999999999</v>
      </c>
      <c r="CQ14" s="3">
        <v>99.18638</v>
      </c>
      <c r="CR14" s="3">
        <v>98.385310000000004</v>
      </c>
      <c r="CS14" s="3">
        <v>98.94238</v>
      </c>
      <c r="CT14" s="3">
        <v>99.957599999999999</v>
      </c>
      <c r="CU14" s="3">
        <v>99.371989999999997</v>
      </c>
      <c r="CV14" s="3">
        <v>95.221879999999999</v>
      </c>
      <c r="CW14" s="3">
        <v>98.053150000000002</v>
      </c>
      <c r="CX14" s="3">
        <v>91.959879999999998</v>
      </c>
      <c r="CY14" s="3">
        <v>81.140180000000001</v>
      </c>
      <c r="CZ14" s="3">
        <v>95.213480000000004</v>
      </c>
      <c r="DA14" s="3">
        <v>99.114140000000006</v>
      </c>
      <c r="DB14" s="3">
        <v>98.293670000000006</v>
      </c>
      <c r="DC14" s="3">
        <v>99.928979999999996</v>
      </c>
      <c r="DD14" s="3">
        <v>99.752170000000007</v>
      </c>
      <c r="DE14" s="3">
        <v>97.251009999999994</v>
      </c>
      <c r="DF14" s="3">
        <v>97.776439999999994</v>
      </c>
      <c r="DG14" s="3">
        <v>96.229100000000003</v>
      </c>
    </row>
    <row r="15" spans="1:111" x14ac:dyDescent="0.2">
      <c r="A15" s="3">
        <v>1</v>
      </c>
      <c r="B15" s="4" t="s">
        <v>117</v>
      </c>
      <c r="C15" s="3">
        <v>52</v>
      </c>
      <c r="D15" s="3">
        <v>40.80782</v>
      </c>
      <c r="E15" s="3">
        <v>59.494030000000002</v>
      </c>
      <c r="F15" s="3">
        <v>67.916640000000001</v>
      </c>
      <c r="G15" s="3">
        <v>61.055309999999999</v>
      </c>
      <c r="H15" s="3">
        <v>94.652730000000005</v>
      </c>
      <c r="I15" s="3">
        <v>82.587609999999998</v>
      </c>
      <c r="J15" s="3">
        <v>85.340559999999996</v>
      </c>
      <c r="K15" s="3">
        <v>89.286150000000006</v>
      </c>
      <c r="L15" s="3">
        <v>70.815330000000003</v>
      </c>
      <c r="M15" s="3">
        <v>49.943309999999997</v>
      </c>
      <c r="N15" s="3">
        <v>55.14423</v>
      </c>
      <c r="O15" s="3">
        <v>75.920969999999997</v>
      </c>
      <c r="P15" s="3">
        <v>56.451599999999999</v>
      </c>
      <c r="Q15" s="3">
        <v>87.892809999999997</v>
      </c>
      <c r="R15" s="3">
        <v>72.773700000000005</v>
      </c>
      <c r="S15" s="3">
        <v>58.081769999999999</v>
      </c>
      <c r="T15" s="3">
        <v>64.679850000000002</v>
      </c>
      <c r="U15" s="3">
        <v>58.531179999999999</v>
      </c>
      <c r="V15" s="3">
        <v>93.097949999999997</v>
      </c>
      <c r="W15" s="3">
        <v>94.208640000000003</v>
      </c>
      <c r="X15" s="3">
        <v>94.363119999999995</v>
      </c>
      <c r="Y15" s="3">
        <v>95.337909999999994</v>
      </c>
      <c r="Z15" s="3">
        <v>99.443969999999993</v>
      </c>
      <c r="AA15" s="3">
        <v>95.424289999999999</v>
      </c>
      <c r="AB15" s="3">
        <v>95.472629999999995</v>
      </c>
      <c r="AC15" s="3">
        <v>95.081460000000007</v>
      </c>
      <c r="AD15" s="3">
        <v>95.559920000000005</v>
      </c>
      <c r="AE15" s="3">
        <v>58.039020000000001</v>
      </c>
      <c r="AF15" s="3">
        <v>54.113239999999998</v>
      </c>
      <c r="AG15" s="3">
        <v>64.359570000000005</v>
      </c>
      <c r="AH15" s="3">
        <v>58.352809999999998</v>
      </c>
      <c r="AI15" s="3">
        <v>95.965289999999996</v>
      </c>
      <c r="AJ15" s="3">
        <v>78.654730000000001</v>
      </c>
      <c r="AK15" s="3">
        <v>71.646559999999994</v>
      </c>
      <c r="AL15" s="3">
        <v>56.430419999999998</v>
      </c>
      <c r="AM15" s="3">
        <v>39.960729999999998</v>
      </c>
      <c r="AN15" s="3">
        <v>97.345380000000006</v>
      </c>
      <c r="AO15" s="3">
        <v>95.954840000000004</v>
      </c>
      <c r="AP15" s="3">
        <v>95.449010000000001</v>
      </c>
      <c r="AQ15" s="3">
        <v>98.815079999999995</v>
      </c>
      <c r="AR15" s="3">
        <v>99.650279999999995</v>
      </c>
      <c r="AS15" s="3">
        <v>98.882750000000001</v>
      </c>
      <c r="AT15" s="3">
        <v>96.150980000000004</v>
      </c>
      <c r="AU15" s="3">
        <v>95.495999999999995</v>
      </c>
      <c r="AV15" s="3">
        <v>98.405879999999996</v>
      </c>
      <c r="AW15" s="3">
        <v>94.96414</v>
      </c>
      <c r="AX15" s="3">
        <v>97.225880000000004</v>
      </c>
      <c r="AY15" s="3">
        <v>98.015870000000007</v>
      </c>
      <c r="AZ15" s="3">
        <v>97.296970000000002</v>
      </c>
      <c r="BA15" s="3">
        <v>99.087490000000003</v>
      </c>
      <c r="BB15" s="3">
        <v>95.198790000000002</v>
      </c>
      <c r="BC15" s="3">
        <v>95.845020000000005</v>
      </c>
      <c r="BD15" s="3">
        <v>97.409989999999993</v>
      </c>
      <c r="BE15" s="3">
        <v>89.21396</v>
      </c>
      <c r="BF15" s="3">
        <v>99.351839999999996</v>
      </c>
      <c r="BG15" s="3">
        <v>99.492180000000005</v>
      </c>
      <c r="BH15" s="3">
        <v>99.087350000000001</v>
      </c>
      <c r="BI15" s="3">
        <v>99.586979999999997</v>
      </c>
      <c r="BJ15" s="3">
        <v>99.99091</v>
      </c>
      <c r="BK15" s="3">
        <v>99.661060000000006</v>
      </c>
      <c r="BL15" s="3">
        <v>99.656970000000001</v>
      </c>
      <c r="BM15" s="3">
        <v>99.853170000000006</v>
      </c>
      <c r="BN15" s="3">
        <v>99.333410000000001</v>
      </c>
      <c r="BO15" s="3">
        <v>85.811019999999999</v>
      </c>
      <c r="BP15" s="3">
        <v>89.003429999999994</v>
      </c>
      <c r="BQ15" s="3">
        <v>86.305989999999994</v>
      </c>
      <c r="BR15" s="3">
        <v>92.071529999999996</v>
      </c>
      <c r="BS15" s="3">
        <v>98.007679999999993</v>
      </c>
      <c r="BT15" s="3">
        <v>90.440539999999999</v>
      </c>
      <c r="BU15" s="3">
        <v>93.942229999999995</v>
      </c>
      <c r="BV15" s="3">
        <v>84.604740000000007</v>
      </c>
      <c r="BW15" s="3">
        <v>63.568069999999999</v>
      </c>
      <c r="BX15" s="3">
        <v>70.339340000000007</v>
      </c>
      <c r="BY15" s="3">
        <v>66.477059999999994</v>
      </c>
      <c r="BZ15" s="3">
        <v>52.211889999999997</v>
      </c>
      <c r="CA15" s="3">
        <v>59.646799999999999</v>
      </c>
      <c r="CB15" s="3">
        <v>87.657480000000007</v>
      </c>
      <c r="CC15" s="3">
        <v>67.22766</v>
      </c>
      <c r="CD15" s="3">
        <v>52.674959999999999</v>
      </c>
      <c r="CE15" s="3">
        <v>51.570480000000003</v>
      </c>
      <c r="CF15" s="3">
        <v>44.833979999999997</v>
      </c>
      <c r="CG15" s="3">
        <v>91.409800000000004</v>
      </c>
      <c r="CH15" s="3">
        <v>93.620800000000003</v>
      </c>
      <c r="CI15" s="3">
        <v>90.237790000000004</v>
      </c>
      <c r="CJ15" s="3">
        <v>92.877030000000005</v>
      </c>
      <c r="CK15" s="3">
        <v>98.547790000000006</v>
      </c>
      <c r="CL15" s="3">
        <v>93.519509999999997</v>
      </c>
      <c r="CM15" s="3">
        <v>92.485039999999998</v>
      </c>
      <c r="CN15" s="3">
        <v>94.406130000000005</v>
      </c>
      <c r="CO15" s="3">
        <v>89.434070000000006</v>
      </c>
      <c r="CP15" s="3">
        <v>97.74606</v>
      </c>
      <c r="CQ15" s="3">
        <v>99.087760000000003</v>
      </c>
      <c r="CR15" s="3">
        <v>99.045419999999993</v>
      </c>
      <c r="CS15" s="3">
        <v>99.29025</v>
      </c>
      <c r="CT15" s="3">
        <v>99.904529999999994</v>
      </c>
      <c r="CU15" s="3">
        <v>98.997280000000003</v>
      </c>
      <c r="CV15" s="3">
        <v>96.114850000000004</v>
      </c>
      <c r="CW15" s="3">
        <v>98.360200000000006</v>
      </c>
      <c r="CX15" s="3">
        <v>94.695819999999998</v>
      </c>
      <c r="CY15" s="3">
        <v>85.688159999999996</v>
      </c>
      <c r="CZ15" s="3">
        <v>96.802260000000004</v>
      </c>
      <c r="DA15" s="3">
        <v>98.960049999999995</v>
      </c>
      <c r="DB15" s="3">
        <v>98.364009999999993</v>
      </c>
      <c r="DC15" s="3">
        <v>99.925420000000003</v>
      </c>
      <c r="DD15" s="3">
        <v>99.61054</v>
      </c>
      <c r="DE15" s="3">
        <v>97.770359999999997</v>
      </c>
      <c r="DF15" s="3">
        <v>98.116799999999998</v>
      </c>
      <c r="DG15" s="3">
        <v>96.426869999999994</v>
      </c>
    </row>
    <row r="16" spans="1:111" x14ac:dyDescent="0.2">
      <c r="A16" s="3">
        <v>1</v>
      </c>
      <c r="B16" s="4" t="s">
        <v>117</v>
      </c>
      <c r="C16" s="3">
        <v>56</v>
      </c>
      <c r="D16" s="3">
        <v>44.534939999999999</v>
      </c>
      <c r="E16" s="3">
        <v>63.642989999999998</v>
      </c>
      <c r="F16" s="3">
        <v>71.403989999999993</v>
      </c>
      <c r="G16" s="3">
        <v>64.586010000000002</v>
      </c>
      <c r="H16" s="3">
        <v>94.809330000000003</v>
      </c>
      <c r="I16" s="3">
        <v>84.223939999999999</v>
      </c>
      <c r="J16" s="3">
        <v>85.663650000000004</v>
      </c>
      <c r="K16" s="3">
        <v>89.867580000000004</v>
      </c>
      <c r="L16" s="3">
        <v>73.66995</v>
      </c>
      <c r="M16" s="3">
        <v>48.323590000000003</v>
      </c>
      <c r="N16" s="3">
        <v>55.28313</v>
      </c>
      <c r="O16" s="3">
        <v>77.167969999999997</v>
      </c>
      <c r="P16" s="3">
        <v>61.928669999999997</v>
      </c>
      <c r="Q16" s="3">
        <v>87.230519999999999</v>
      </c>
      <c r="R16" s="3">
        <v>71.747630000000001</v>
      </c>
      <c r="S16" s="3">
        <v>59.118839999999999</v>
      </c>
      <c r="T16" s="3">
        <v>68.810569999999998</v>
      </c>
      <c r="U16" s="3">
        <v>62.307000000000002</v>
      </c>
      <c r="V16" s="3">
        <v>90.558009999999996</v>
      </c>
      <c r="W16" s="3">
        <v>92.925120000000007</v>
      </c>
      <c r="X16" s="3">
        <v>92.69408</v>
      </c>
      <c r="Y16" s="3">
        <v>95.067599999999999</v>
      </c>
      <c r="Z16" s="3">
        <v>99.281779999999998</v>
      </c>
      <c r="AA16" s="3">
        <v>94.244069999999994</v>
      </c>
      <c r="AB16" s="3">
        <v>97.402820000000006</v>
      </c>
      <c r="AC16" s="3">
        <v>94.879519999999999</v>
      </c>
      <c r="AD16" s="3">
        <v>95.723470000000006</v>
      </c>
      <c r="AE16" s="3">
        <v>60.848239999999997</v>
      </c>
      <c r="AF16" s="3">
        <v>57.992989999999999</v>
      </c>
      <c r="AG16" s="3">
        <v>69.504270000000005</v>
      </c>
      <c r="AH16" s="3">
        <v>61.933590000000002</v>
      </c>
      <c r="AI16" s="3">
        <v>96.565299999999993</v>
      </c>
      <c r="AJ16" s="3">
        <v>80.673010000000005</v>
      </c>
      <c r="AK16" s="3">
        <v>77.359250000000003</v>
      </c>
      <c r="AL16" s="3">
        <v>58.32461</v>
      </c>
      <c r="AM16" s="3">
        <v>45.230820000000001</v>
      </c>
      <c r="AN16" s="3">
        <v>97.847260000000006</v>
      </c>
      <c r="AO16" s="3">
        <v>97.729190000000003</v>
      </c>
      <c r="AP16" s="3">
        <v>97.704800000000006</v>
      </c>
      <c r="AQ16" s="3">
        <v>98.658760000000001</v>
      </c>
      <c r="AR16" s="3">
        <v>99.666120000000006</v>
      </c>
      <c r="AS16" s="3">
        <v>99.022750000000002</v>
      </c>
      <c r="AT16" s="3">
        <v>97.165300000000002</v>
      </c>
      <c r="AU16" s="3">
        <v>96.27704</v>
      </c>
      <c r="AV16" s="3">
        <v>98.537130000000005</v>
      </c>
      <c r="AW16" s="3">
        <v>96.253079999999997</v>
      </c>
      <c r="AX16" s="3">
        <v>98.596339999999998</v>
      </c>
      <c r="AY16" s="3">
        <v>98.664420000000007</v>
      </c>
      <c r="AZ16" s="3">
        <v>98.175259999999994</v>
      </c>
      <c r="BA16" s="3">
        <v>99.080060000000003</v>
      </c>
      <c r="BB16" s="3">
        <v>97.207440000000005</v>
      </c>
      <c r="BC16" s="3">
        <v>98.086889999999997</v>
      </c>
      <c r="BD16" s="3">
        <v>98.481470000000002</v>
      </c>
      <c r="BE16" s="3">
        <v>91.95326</v>
      </c>
      <c r="BF16" s="3">
        <v>99.279929999999993</v>
      </c>
      <c r="BG16" s="3">
        <v>99.607249999999993</v>
      </c>
      <c r="BH16" s="3">
        <v>99.325140000000005</v>
      </c>
      <c r="BI16" s="3">
        <v>99.550030000000007</v>
      </c>
      <c r="BJ16" s="3">
        <v>99.965770000000006</v>
      </c>
      <c r="BK16" s="3">
        <v>99.67089</v>
      </c>
      <c r="BL16" s="3">
        <v>99.61627</v>
      </c>
      <c r="BM16" s="3">
        <v>99.601100000000002</v>
      </c>
      <c r="BN16" s="3">
        <v>99.196070000000006</v>
      </c>
      <c r="BO16" s="3">
        <v>90.581630000000004</v>
      </c>
      <c r="BP16" s="3">
        <v>93.679310000000001</v>
      </c>
      <c r="BQ16" s="3">
        <v>89.746780000000001</v>
      </c>
      <c r="BR16" s="3">
        <v>94.658940000000001</v>
      </c>
      <c r="BS16" s="3">
        <v>98.583650000000006</v>
      </c>
      <c r="BT16" s="3">
        <v>93.500739999999993</v>
      </c>
      <c r="BU16" s="3">
        <v>96.756169999999997</v>
      </c>
      <c r="BV16" s="3">
        <v>89.662710000000004</v>
      </c>
      <c r="BW16" s="3">
        <v>71.463130000000007</v>
      </c>
      <c r="BX16" s="3">
        <v>74.739670000000004</v>
      </c>
      <c r="BY16" s="3">
        <v>70.011259999999993</v>
      </c>
      <c r="BZ16" s="3">
        <v>55.453249999999997</v>
      </c>
      <c r="CA16" s="3">
        <v>60.280940000000001</v>
      </c>
      <c r="CB16" s="3">
        <v>87.800060000000002</v>
      </c>
      <c r="CC16" s="3">
        <v>73.720699999999994</v>
      </c>
      <c r="CD16" s="3">
        <v>56.599919999999997</v>
      </c>
      <c r="CE16" s="3">
        <v>58.932130000000001</v>
      </c>
      <c r="CF16" s="3">
        <v>50.102310000000003</v>
      </c>
      <c r="CG16" s="3">
        <v>92.049959999999999</v>
      </c>
      <c r="CH16" s="3">
        <v>92.990530000000007</v>
      </c>
      <c r="CI16" s="3">
        <v>91.293909999999997</v>
      </c>
      <c r="CJ16" s="3">
        <v>94.645979999999994</v>
      </c>
      <c r="CK16" s="3">
        <v>98.254959999999997</v>
      </c>
      <c r="CL16" s="3">
        <v>94.759270000000001</v>
      </c>
      <c r="CM16" s="3">
        <v>93.93329</v>
      </c>
      <c r="CN16" s="3">
        <v>92.466800000000006</v>
      </c>
      <c r="CO16" s="3">
        <v>90.34281</v>
      </c>
      <c r="CP16" s="3">
        <v>98.24709</v>
      </c>
      <c r="CQ16" s="3">
        <v>99.480509999999995</v>
      </c>
      <c r="CR16" s="3">
        <v>98.362790000000004</v>
      </c>
      <c r="CS16" s="3">
        <v>99.455579999999998</v>
      </c>
      <c r="CT16" s="3">
        <v>99.922349999999994</v>
      </c>
      <c r="CU16" s="3">
        <v>99.426280000000006</v>
      </c>
      <c r="CV16" s="3">
        <v>97.389240000000001</v>
      </c>
      <c r="CW16" s="3">
        <v>99.007999999999996</v>
      </c>
      <c r="CX16" s="3">
        <v>96.632429999999999</v>
      </c>
      <c r="CY16" s="3">
        <v>90.139989999999997</v>
      </c>
      <c r="CZ16" s="3">
        <v>98.280360000000002</v>
      </c>
      <c r="DA16" s="3">
        <v>98.680199999999999</v>
      </c>
      <c r="DB16" s="3">
        <v>98.935469999999995</v>
      </c>
      <c r="DC16" s="3">
        <v>99.945849999999993</v>
      </c>
      <c r="DD16" s="3">
        <v>99.805769999999995</v>
      </c>
      <c r="DE16" s="3">
        <v>98.331509999999994</v>
      </c>
      <c r="DF16" s="3">
        <v>98.226129999999998</v>
      </c>
      <c r="DG16" s="3">
        <v>97.709379999999996</v>
      </c>
    </row>
    <row r="17" spans="1:111" x14ac:dyDescent="0.2">
      <c r="A17" s="3">
        <v>1</v>
      </c>
      <c r="B17" s="4" t="s">
        <v>117</v>
      </c>
      <c r="C17" s="3">
        <v>60</v>
      </c>
      <c r="D17" s="3">
        <v>48.355890000000002</v>
      </c>
      <c r="E17" s="3">
        <v>67.300380000000004</v>
      </c>
      <c r="F17" s="3">
        <v>73.563289999999995</v>
      </c>
      <c r="G17" s="3">
        <v>63.86083</v>
      </c>
      <c r="H17" s="3">
        <v>94.459680000000006</v>
      </c>
      <c r="I17" s="3">
        <v>87.233940000000004</v>
      </c>
      <c r="J17" s="3">
        <v>87.012050000000002</v>
      </c>
      <c r="K17" s="3">
        <v>90.309010000000001</v>
      </c>
      <c r="L17" s="3">
        <v>76.017939999999996</v>
      </c>
      <c r="M17" s="3">
        <v>53.214390000000002</v>
      </c>
      <c r="N17" s="3">
        <v>55.380380000000002</v>
      </c>
      <c r="O17" s="3">
        <v>76.847470000000001</v>
      </c>
      <c r="P17" s="3">
        <v>58.897239999999996</v>
      </c>
      <c r="Q17" s="3">
        <v>90.075940000000003</v>
      </c>
      <c r="R17" s="3">
        <v>74.374529999999993</v>
      </c>
      <c r="S17" s="3">
        <v>64.890590000000003</v>
      </c>
      <c r="T17" s="3">
        <v>67.997709999999998</v>
      </c>
      <c r="U17" s="3">
        <v>65.45993</v>
      </c>
      <c r="V17" s="3">
        <v>92.610969999999995</v>
      </c>
      <c r="W17" s="3">
        <v>91.647509999999997</v>
      </c>
      <c r="X17" s="3">
        <v>93.876620000000003</v>
      </c>
      <c r="Y17" s="3">
        <v>95.689329999999998</v>
      </c>
      <c r="Z17" s="3">
        <v>98.632459999999995</v>
      </c>
      <c r="AA17" s="3">
        <v>95.237920000000003</v>
      </c>
      <c r="AB17" s="3">
        <v>96.698670000000007</v>
      </c>
      <c r="AC17" s="3">
        <v>94.545450000000002</v>
      </c>
      <c r="AD17" s="3">
        <v>95.403049999999993</v>
      </c>
      <c r="AE17" s="3">
        <v>65.372529999999998</v>
      </c>
      <c r="AF17" s="3">
        <v>67.758610000000004</v>
      </c>
      <c r="AG17" s="3">
        <v>76.898489999999995</v>
      </c>
      <c r="AH17" s="3">
        <v>72.182370000000006</v>
      </c>
      <c r="AI17" s="3">
        <v>96.666979999999995</v>
      </c>
      <c r="AJ17" s="3">
        <v>84.404300000000006</v>
      </c>
      <c r="AK17" s="3">
        <v>81.405079999999998</v>
      </c>
      <c r="AL17" s="3">
        <v>67.876480000000001</v>
      </c>
      <c r="AM17" s="3">
        <v>51.965960000000003</v>
      </c>
      <c r="AN17" s="3">
        <v>97.550319999999999</v>
      </c>
      <c r="AO17" s="3">
        <v>98.221010000000007</v>
      </c>
      <c r="AP17" s="3">
        <v>97.695650000000001</v>
      </c>
      <c r="AQ17" s="3">
        <v>99.078410000000005</v>
      </c>
      <c r="AR17" s="3">
        <v>99.407570000000007</v>
      </c>
      <c r="AS17" s="3">
        <v>99.007109999999997</v>
      </c>
      <c r="AT17" s="3">
        <v>97.728359999999995</v>
      </c>
      <c r="AU17" s="3">
        <v>98.236170000000001</v>
      </c>
      <c r="AV17" s="3">
        <v>98.446430000000007</v>
      </c>
      <c r="AW17" s="3">
        <v>96.456779999999995</v>
      </c>
      <c r="AX17" s="3">
        <v>98.46011</v>
      </c>
      <c r="AY17" s="3">
        <v>98.055139999999994</v>
      </c>
      <c r="AZ17" s="3">
        <v>98.932199999999995</v>
      </c>
      <c r="BA17" s="3">
        <v>99.481179999999995</v>
      </c>
      <c r="BB17" s="3">
        <v>97.69708</v>
      </c>
      <c r="BC17" s="3">
        <v>98.26943</v>
      </c>
      <c r="BD17" s="3">
        <v>99.00752</v>
      </c>
      <c r="BE17" s="3">
        <v>95.378799999999998</v>
      </c>
      <c r="BF17" s="3">
        <v>99.367490000000004</v>
      </c>
      <c r="BG17" s="3">
        <v>99.73066</v>
      </c>
      <c r="BH17" s="3">
        <v>99.235209999999995</v>
      </c>
      <c r="BI17" s="3">
        <v>99.50188</v>
      </c>
      <c r="BJ17" s="3">
        <v>99.949259999999995</v>
      </c>
      <c r="BK17" s="3">
        <v>99.55453</v>
      </c>
      <c r="BL17" s="3">
        <v>99.603840000000005</v>
      </c>
      <c r="BM17" s="3">
        <v>99.759540000000001</v>
      </c>
      <c r="BN17" s="3">
        <v>99.252420000000001</v>
      </c>
      <c r="BO17" s="3">
        <v>94.284649999999999</v>
      </c>
      <c r="BP17" s="3">
        <v>95.201650000000001</v>
      </c>
      <c r="BQ17" s="3">
        <v>94.409549999999996</v>
      </c>
      <c r="BR17" s="3">
        <v>96.521590000000003</v>
      </c>
      <c r="BS17" s="3">
        <v>98.776290000000003</v>
      </c>
      <c r="BT17" s="3">
        <v>95.175219999999996</v>
      </c>
      <c r="BU17" s="3">
        <v>97.614450000000005</v>
      </c>
      <c r="BV17" s="3">
        <v>92.308099999999996</v>
      </c>
      <c r="BW17" s="3">
        <v>77.956249999999997</v>
      </c>
      <c r="BX17" s="3">
        <v>77.194119999999998</v>
      </c>
      <c r="BY17" s="3">
        <v>73.553730000000002</v>
      </c>
      <c r="BZ17" s="3">
        <v>60.529249999999998</v>
      </c>
      <c r="CA17" s="3">
        <v>68.987030000000004</v>
      </c>
      <c r="CB17" s="3">
        <v>89.034630000000007</v>
      </c>
      <c r="CC17" s="3">
        <v>75.157619999999994</v>
      </c>
      <c r="CD17" s="3">
        <v>56.743540000000003</v>
      </c>
      <c r="CE17" s="3">
        <v>60.09055</v>
      </c>
      <c r="CF17" s="3">
        <v>53.420900000000003</v>
      </c>
      <c r="CG17" s="3">
        <v>91.624979999999994</v>
      </c>
      <c r="CH17" s="3">
        <v>91.496870000000001</v>
      </c>
      <c r="CI17" s="3">
        <v>93.399460000000005</v>
      </c>
      <c r="CJ17" s="3">
        <v>93.19717</v>
      </c>
      <c r="CK17" s="3">
        <v>98.066810000000004</v>
      </c>
      <c r="CL17" s="3">
        <v>96.378039999999999</v>
      </c>
      <c r="CM17" s="3">
        <v>94.50667</v>
      </c>
      <c r="CN17" s="3">
        <v>93.077669999999998</v>
      </c>
      <c r="CO17" s="3">
        <v>91.196789999999993</v>
      </c>
      <c r="CP17" s="3">
        <v>99.192939999999993</v>
      </c>
      <c r="CQ17" s="3">
        <v>99.519970000000001</v>
      </c>
      <c r="CR17" s="3">
        <v>99.156949999999995</v>
      </c>
      <c r="CS17" s="3">
        <v>99.399709999999999</v>
      </c>
      <c r="CT17" s="3">
        <v>99.904589999999999</v>
      </c>
      <c r="CU17" s="3">
        <v>98.836250000000007</v>
      </c>
      <c r="CV17" s="3">
        <v>97.996889999999993</v>
      </c>
      <c r="CW17" s="3">
        <v>99.219290000000001</v>
      </c>
      <c r="CX17" s="3">
        <v>98.290949999999995</v>
      </c>
      <c r="CY17" s="3">
        <v>91.387190000000004</v>
      </c>
      <c r="CZ17" s="3">
        <v>98.408680000000004</v>
      </c>
      <c r="DA17" s="3">
        <v>99.146289999999993</v>
      </c>
      <c r="DB17" s="3">
        <v>99.018450000000001</v>
      </c>
      <c r="DC17" s="3">
        <v>99.914569999999998</v>
      </c>
      <c r="DD17" s="3">
        <v>99.831599999999995</v>
      </c>
      <c r="DE17" s="3">
        <v>98.603579999999994</v>
      </c>
      <c r="DF17" s="3">
        <v>98.610069999999993</v>
      </c>
      <c r="DG17" s="3">
        <v>97.724130000000002</v>
      </c>
    </row>
    <row r="18" spans="1:111" x14ac:dyDescent="0.2">
      <c r="A18" s="3">
        <v>1</v>
      </c>
      <c r="B18" s="4" t="s">
        <v>117</v>
      </c>
      <c r="C18" s="3">
        <v>64</v>
      </c>
      <c r="D18" s="3">
        <v>52.186680000000003</v>
      </c>
      <c r="E18" s="3">
        <v>71.478229999999996</v>
      </c>
      <c r="F18" s="3">
        <v>80.35333</v>
      </c>
      <c r="G18" s="3">
        <v>73.799099999999996</v>
      </c>
      <c r="H18" s="3">
        <v>95.698210000000003</v>
      </c>
      <c r="I18" s="3">
        <v>89.541629999999998</v>
      </c>
      <c r="J18" s="3">
        <v>90.20187</v>
      </c>
      <c r="K18" s="3">
        <v>90.860259999999997</v>
      </c>
      <c r="L18" s="3">
        <v>79.949460000000002</v>
      </c>
      <c r="M18" s="3">
        <v>56.962470000000003</v>
      </c>
      <c r="N18" s="3">
        <v>60.828009999999999</v>
      </c>
      <c r="O18" s="3">
        <v>78.361630000000005</v>
      </c>
      <c r="P18" s="3">
        <v>69.117739999999998</v>
      </c>
      <c r="Q18" s="3">
        <v>87.633290000000002</v>
      </c>
      <c r="R18" s="3">
        <v>77.661910000000006</v>
      </c>
      <c r="S18" s="3">
        <v>66.206969999999998</v>
      </c>
      <c r="T18" s="3">
        <v>69.580690000000004</v>
      </c>
      <c r="U18" s="3">
        <v>67.642169999999993</v>
      </c>
      <c r="V18" s="3">
        <v>93.466380000000001</v>
      </c>
      <c r="W18" s="3">
        <v>93.651039999999995</v>
      </c>
      <c r="X18" s="3">
        <v>91.128649999999993</v>
      </c>
      <c r="Y18" s="3">
        <v>95.079350000000005</v>
      </c>
      <c r="Z18" s="3">
        <v>99.188550000000006</v>
      </c>
      <c r="AA18" s="3">
        <v>96.04177</v>
      </c>
      <c r="AB18" s="3">
        <v>97.408900000000003</v>
      </c>
      <c r="AC18" s="3">
        <v>96.011179999999996</v>
      </c>
      <c r="AD18" s="3">
        <v>96.645200000000003</v>
      </c>
      <c r="AE18" s="3">
        <v>72.838179999999994</v>
      </c>
      <c r="AF18" s="3">
        <v>73.040930000000003</v>
      </c>
      <c r="AG18" s="3">
        <v>82.822199999999995</v>
      </c>
      <c r="AH18" s="3">
        <v>78.130740000000003</v>
      </c>
      <c r="AI18" s="3">
        <v>97.129580000000004</v>
      </c>
      <c r="AJ18" s="3">
        <v>92.346270000000004</v>
      </c>
      <c r="AK18" s="3">
        <v>87.003720000000001</v>
      </c>
      <c r="AL18" s="3">
        <v>73.796639999999996</v>
      </c>
      <c r="AM18" s="3">
        <v>62.515230000000003</v>
      </c>
      <c r="AN18" s="3">
        <v>98.513300000000001</v>
      </c>
      <c r="AO18" s="3">
        <v>98.637169999999998</v>
      </c>
      <c r="AP18" s="3">
        <v>96.675790000000006</v>
      </c>
      <c r="AQ18" s="3">
        <v>99.220870000000005</v>
      </c>
      <c r="AR18" s="3">
        <v>99.605879999999999</v>
      </c>
      <c r="AS18" s="3">
        <v>99.32535</v>
      </c>
      <c r="AT18" s="3">
        <v>97.793719999999993</v>
      </c>
      <c r="AU18" s="3">
        <v>97.359660000000005</v>
      </c>
      <c r="AV18" s="3">
        <v>99.170869999999994</v>
      </c>
      <c r="AW18" s="3">
        <v>97.232290000000006</v>
      </c>
      <c r="AX18" s="3">
        <v>98.737219999999994</v>
      </c>
      <c r="AY18" s="3">
        <v>99.119730000000004</v>
      </c>
      <c r="AZ18" s="3">
        <v>99.018450000000001</v>
      </c>
      <c r="BA18" s="3">
        <v>99.326710000000006</v>
      </c>
      <c r="BB18" s="3">
        <v>98.061959999999999</v>
      </c>
      <c r="BC18" s="3">
        <v>97.824590000000001</v>
      </c>
      <c r="BD18" s="3">
        <v>99.34836</v>
      </c>
      <c r="BE18" s="3">
        <v>96.773319999999998</v>
      </c>
      <c r="BF18" s="3">
        <v>99.411739999999995</v>
      </c>
      <c r="BG18" s="3">
        <v>99.432429999999997</v>
      </c>
      <c r="BH18" s="3">
        <v>99.483919999999998</v>
      </c>
      <c r="BI18" s="3">
        <v>99.461309999999997</v>
      </c>
      <c r="BJ18" s="3">
        <v>99.927750000000003</v>
      </c>
      <c r="BK18" s="3">
        <v>99.594480000000004</v>
      </c>
      <c r="BL18" s="3">
        <v>98.782229999999998</v>
      </c>
      <c r="BM18" s="3">
        <v>99.542850000000001</v>
      </c>
      <c r="BN18" s="3">
        <v>99.694469999999995</v>
      </c>
      <c r="BO18" s="3">
        <v>95.293239999999997</v>
      </c>
      <c r="BP18" s="3">
        <v>97.412719999999993</v>
      </c>
      <c r="BQ18" s="3">
        <v>96.683850000000007</v>
      </c>
      <c r="BR18" s="3">
        <v>97.141329999999996</v>
      </c>
      <c r="BS18" s="3">
        <v>99.048630000000003</v>
      </c>
      <c r="BT18" s="3">
        <v>97.576679999999996</v>
      </c>
      <c r="BU18" s="3">
        <v>97.808049999999994</v>
      </c>
      <c r="BV18" s="3">
        <v>95.589960000000005</v>
      </c>
      <c r="BW18" s="3">
        <v>84.674930000000003</v>
      </c>
      <c r="BX18" s="3">
        <v>78.412840000000003</v>
      </c>
      <c r="BY18" s="3">
        <v>75.999920000000003</v>
      </c>
      <c r="BZ18" s="3">
        <v>65.542429999999996</v>
      </c>
      <c r="CA18" s="3">
        <v>73.091189999999997</v>
      </c>
      <c r="CB18" s="3">
        <v>89.592230000000001</v>
      </c>
      <c r="CC18" s="3">
        <v>82.48415</v>
      </c>
      <c r="CD18" s="3">
        <v>57.934130000000003</v>
      </c>
      <c r="CE18" s="3">
        <v>65.696839999999995</v>
      </c>
      <c r="CF18" s="3">
        <v>61.201990000000002</v>
      </c>
      <c r="CG18" s="3">
        <v>93.20223</v>
      </c>
      <c r="CH18" s="3">
        <v>92.415859999999995</v>
      </c>
      <c r="CI18" s="3">
        <v>94.735240000000005</v>
      </c>
      <c r="CJ18" s="3">
        <v>92.559619999999995</v>
      </c>
      <c r="CK18" s="3">
        <v>98.84478</v>
      </c>
      <c r="CL18" s="3">
        <v>91.688220000000001</v>
      </c>
      <c r="CM18" s="3">
        <v>94.399169999999998</v>
      </c>
      <c r="CN18" s="3">
        <v>95.024990000000003</v>
      </c>
      <c r="CO18" s="3">
        <v>90.216890000000006</v>
      </c>
      <c r="CP18" s="3">
        <v>99.160629999999998</v>
      </c>
      <c r="CQ18" s="3">
        <v>99.263409999999993</v>
      </c>
      <c r="CR18" s="3">
        <v>99.207890000000006</v>
      </c>
      <c r="CS18" s="3">
        <v>99.307040000000001</v>
      </c>
      <c r="CT18" s="3">
        <v>99.958200000000005</v>
      </c>
      <c r="CU18" s="3">
        <v>99.300479999999993</v>
      </c>
      <c r="CV18" s="3">
        <v>98.332049999999995</v>
      </c>
      <c r="CW18" s="3">
        <v>99.654300000000006</v>
      </c>
      <c r="CX18" s="3">
        <v>98.567310000000006</v>
      </c>
      <c r="CY18" s="3">
        <v>92.270740000000004</v>
      </c>
      <c r="CZ18" s="3">
        <v>99.220320000000001</v>
      </c>
      <c r="DA18" s="3">
        <v>99.371930000000006</v>
      </c>
      <c r="DB18" s="3">
        <v>98.846969999999999</v>
      </c>
      <c r="DC18" s="3">
        <v>99.801400000000001</v>
      </c>
      <c r="DD18" s="3">
        <v>99.761930000000007</v>
      </c>
      <c r="DE18" s="3">
        <v>98.680340000000001</v>
      </c>
      <c r="DF18" s="3">
        <v>99.230149999999995</v>
      </c>
      <c r="DG18" s="3">
        <v>98.481409999999997</v>
      </c>
    </row>
    <row r="19" spans="1:111" x14ac:dyDescent="0.2">
      <c r="A19" s="3">
        <v>1</v>
      </c>
      <c r="B19" s="4" t="s">
        <v>117</v>
      </c>
      <c r="C19" s="3">
        <v>68</v>
      </c>
      <c r="D19" s="3">
        <v>57.082940000000001</v>
      </c>
      <c r="E19" s="3">
        <v>75.952380000000005</v>
      </c>
      <c r="F19" s="3">
        <v>80.094719999999995</v>
      </c>
      <c r="G19" s="3">
        <v>73.927539999999993</v>
      </c>
      <c r="H19" s="3">
        <v>94.636629999999997</v>
      </c>
      <c r="I19" s="3">
        <v>91.474059999999994</v>
      </c>
      <c r="J19" s="3">
        <v>90.970269999999999</v>
      </c>
      <c r="K19" s="3">
        <v>93.195059999999998</v>
      </c>
      <c r="L19" s="3">
        <v>80.668009999999995</v>
      </c>
      <c r="M19" s="3">
        <v>52.312539999999998</v>
      </c>
      <c r="N19" s="3">
        <v>62.830919999999999</v>
      </c>
      <c r="O19" s="3">
        <v>82.403099999999995</v>
      </c>
      <c r="P19" s="3">
        <v>68.255430000000004</v>
      </c>
      <c r="Q19" s="3">
        <v>86.627780000000001</v>
      </c>
      <c r="R19" s="3">
        <v>80.387690000000006</v>
      </c>
      <c r="S19" s="3">
        <v>71.419910000000002</v>
      </c>
      <c r="T19" s="3">
        <v>68.711489999999998</v>
      </c>
      <c r="U19" s="3">
        <v>70.078800000000001</v>
      </c>
      <c r="V19" s="3">
        <v>92.468100000000007</v>
      </c>
      <c r="W19" s="3">
        <v>94.995900000000006</v>
      </c>
      <c r="X19" s="3">
        <v>94.341470000000001</v>
      </c>
      <c r="Y19" s="3">
        <v>96.410960000000003</v>
      </c>
      <c r="Z19" s="3">
        <v>99.382440000000003</v>
      </c>
      <c r="AA19" s="3">
        <v>95.570909999999998</v>
      </c>
      <c r="AB19" s="3">
        <v>96.353660000000005</v>
      </c>
      <c r="AC19" s="3">
        <v>95.240380000000002</v>
      </c>
      <c r="AD19" s="3">
        <v>96.953460000000007</v>
      </c>
      <c r="AE19" s="3">
        <v>79.448750000000004</v>
      </c>
      <c r="AF19" s="3">
        <v>77.484350000000006</v>
      </c>
      <c r="AG19" s="3">
        <v>88.136539999999997</v>
      </c>
      <c r="AH19" s="3">
        <v>86.259219999999999</v>
      </c>
      <c r="AI19" s="3">
        <v>97.449659999999994</v>
      </c>
      <c r="AJ19" s="3">
        <v>92.109369999999998</v>
      </c>
      <c r="AK19" s="3">
        <v>89.121639999999999</v>
      </c>
      <c r="AL19" s="3">
        <v>80.124499999999998</v>
      </c>
      <c r="AM19" s="3">
        <v>68.561719999999994</v>
      </c>
      <c r="AN19" s="3">
        <v>97.888840000000002</v>
      </c>
      <c r="AO19" s="3">
        <v>98.532359999999997</v>
      </c>
      <c r="AP19" s="3">
        <v>97.146249999999995</v>
      </c>
      <c r="AQ19" s="3">
        <v>98.98048</v>
      </c>
      <c r="AR19" s="3">
        <v>99.634159999999994</v>
      </c>
      <c r="AS19" s="3">
        <v>99.327799999999996</v>
      </c>
      <c r="AT19" s="3">
        <v>97.66704</v>
      </c>
      <c r="AU19" s="3">
        <v>98.684430000000006</v>
      </c>
      <c r="AV19" s="3">
        <v>99.297550000000001</v>
      </c>
      <c r="AW19" s="3">
        <v>97.894710000000003</v>
      </c>
      <c r="AX19" s="3">
        <v>98.88288</v>
      </c>
      <c r="AY19" s="3">
        <v>98.799430000000001</v>
      </c>
      <c r="AZ19" s="3">
        <v>99.090630000000004</v>
      </c>
      <c r="BA19" s="3">
        <v>99.577129999999997</v>
      </c>
      <c r="BB19" s="3">
        <v>98.608360000000005</v>
      </c>
      <c r="BC19" s="3">
        <v>98.471369999999993</v>
      </c>
      <c r="BD19" s="3">
        <v>99.33587</v>
      </c>
      <c r="BE19" s="3">
        <v>97.837770000000006</v>
      </c>
      <c r="BF19" s="3">
        <v>98.892920000000004</v>
      </c>
      <c r="BG19" s="3">
        <v>99.577129999999997</v>
      </c>
      <c r="BH19" s="3">
        <v>98.785169999999994</v>
      </c>
      <c r="BI19" s="3">
        <v>99.251940000000005</v>
      </c>
      <c r="BJ19" s="3">
        <v>99.952330000000003</v>
      </c>
      <c r="BK19" s="3">
        <v>99.319879999999998</v>
      </c>
      <c r="BL19" s="3">
        <v>99.60445</v>
      </c>
      <c r="BM19" s="3">
        <v>99.475589999999997</v>
      </c>
      <c r="BN19" s="3">
        <v>99.305880000000002</v>
      </c>
      <c r="BO19" s="3">
        <v>96.36712</v>
      </c>
      <c r="BP19" s="3">
        <v>98.165289999999999</v>
      </c>
      <c r="BQ19" s="3">
        <v>97.900729999999996</v>
      </c>
      <c r="BR19" s="3">
        <v>97.051460000000006</v>
      </c>
      <c r="BS19" s="3">
        <v>98.865610000000004</v>
      </c>
      <c r="BT19" s="3">
        <v>98.138980000000004</v>
      </c>
      <c r="BU19" s="3">
        <v>98.331429999999997</v>
      </c>
      <c r="BV19" s="3">
        <v>94.204679999999996</v>
      </c>
      <c r="BW19" s="3">
        <v>90.194149999999993</v>
      </c>
      <c r="BX19" s="3">
        <v>82.777320000000003</v>
      </c>
      <c r="BY19" s="3">
        <v>79.6905</v>
      </c>
      <c r="BZ19" s="3">
        <v>65.961939999999998</v>
      </c>
      <c r="CA19" s="3">
        <v>71.308040000000005</v>
      </c>
      <c r="CB19" s="3">
        <v>91.740120000000005</v>
      </c>
      <c r="CC19" s="3">
        <v>83.590940000000003</v>
      </c>
      <c r="CD19" s="3">
        <v>61.24973</v>
      </c>
      <c r="CE19" s="3">
        <v>68.138990000000007</v>
      </c>
      <c r="CF19" s="3">
        <v>62.675579999999997</v>
      </c>
      <c r="CG19" s="3">
        <v>92.433959999999999</v>
      </c>
      <c r="CH19" s="3">
        <v>93.790570000000002</v>
      </c>
      <c r="CI19" s="3">
        <v>94.847149999999999</v>
      </c>
      <c r="CJ19" s="3">
        <v>94.256230000000002</v>
      </c>
      <c r="CK19" s="3">
        <v>98.840209999999999</v>
      </c>
      <c r="CL19" s="3">
        <v>93.165710000000004</v>
      </c>
      <c r="CM19" s="3">
        <v>94.909450000000007</v>
      </c>
      <c r="CN19" s="3">
        <v>93.033619999999999</v>
      </c>
      <c r="CO19" s="3">
        <v>89.793409999999994</v>
      </c>
      <c r="CP19" s="3">
        <v>98.928229999999999</v>
      </c>
      <c r="CQ19" s="3">
        <v>99.364879999999999</v>
      </c>
      <c r="CR19" s="3">
        <v>99.489919999999998</v>
      </c>
      <c r="CS19" s="3">
        <v>99.456460000000007</v>
      </c>
      <c r="CT19" s="3">
        <v>99.943920000000006</v>
      </c>
      <c r="CU19" s="3">
        <v>98.912800000000004</v>
      </c>
      <c r="CV19" s="3">
        <v>98.584379999999996</v>
      </c>
      <c r="CW19" s="3">
        <v>99.603759999999994</v>
      </c>
      <c r="CX19" s="3">
        <v>98.858990000000006</v>
      </c>
      <c r="CY19" s="3">
        <v>94.987430000000003</v>
      </c>
      <c r="CZ19" s="3">
        <v>98.701449999999994</v>
      </c>
      <c r="DA19" s="3">
        <v>99.468419999999995</v>
      </c>
      <c r="DB19" s="3">
        <v>99.064480000000003</v>
      </c>
      <c r="DC19" s="3">
        <v>99.815669999999997</v>
      </c>
      <c r="DD19" s="3">
        <v>99.770259999999993</v>
      </c>
      <c r="DE19" s="3">
        <v>98.975139999999996</v>
      </c>
      <c r="DF19" s="3">
        <v>98.81071</v>
      </c>
      <c r="DG19" s="3">
        <v>98.127120000000005</v>
      </c>
    </row>
    <row r="20" spans="1:111" x14ac:dyDescent="0.2">
      <c r="A20" s="3">
        <v>1</v>
      </c>
      <c r="B20" s="4" t="s">
        <v>117</v>
      </c>
      <c r="C20" s="3">
        <v>72</v>
      </c>
      <c r="D20" s="3">
        <v>78.394540000000006</v>
      </c>
      <c r="E20" s="3">
        <v>91.920680000000004</v>
      </c>
      <c r="F20" s="3">
        <v>92.085750000000004</v>
      </c>
      <c r="G20" s="3">
        <v>88.786259999999999</v>
      </c>
      <c r="H20" s="3">
        <v>99.198390000000003</v>
      </c>
      <c r="I20" s="3">
        <v>98.050489999999996</v>
      </c>
      <c r="J20" s="3">
        <v>97.349620000000002</v>
      </c>
      <c r="K20" s="3">
        <v>98.366</v>
      </c>
      <c r="L20" s="3">
        <v>94.619190000000003</v>
      </c>
      <c r="M20" s="3">
        <v>86.374290000000002</v>
      </c>
      <c r="N20" s="3">
        <v>91.083839999999995</v>
      </c>
      <c r="O20" s="3">
        <v>96.698939999999993</v>
      </c>
      <c r="P20" s="3">
        <v>91.940690000000004</v>
      </c>
      <c r="Q20" s="3">
        <v>98.31662</v>
      </c>
      <c r="R20" s="3">
        <v>96.515510000000006</v>
      </c>
      <c r="S20" s="3">
        <v>93.456410000000005</v>
      </c>
      <c r="T20" s="3">
        <v>94.415220000000005</v>
      </c>
      <c r="U20" s="3">
        <v>92.572180000000003</v>
      </c>
      <c r="V20" s="3">
        <v>98.41386</v>
      </c>
      <c r="W20" s="3">
        <v>99.311549999999997</v>
      </c>
      <c r="X20" s="3">
        <v>98.508039999999994</v>
      </c>
      <c r="Y20" s="3">
        <v>99.510279999999995</v>
      </c>
      <c r="Z20" s="3">
        <v>99.975399999999993</v>
      </c>
      <c r="AA20" s="3">
        <v>99.529949999999999</v>
      </c>
      <c r="AB20" s="3">
        <v>99.63306</v>
      </c>
      <c r="AC20" s="3">
        <v>99.272220000000004</v>
      </c>
      <c r="AD20" s="3">
        <v>99.598029999999994</v>
      </c>
      <c r="AE20" s="3">
        <v>94.533910000000006</v>
      </c>
      <c r="AF20" s="3">
        <v>94.963120000000004</v>
      </c>
      <c r="AG20" s="3">
        <v>95.900149999999996</v>
      </c>
      <c r="AH20" s="3">
        <v>96.186009999999996</v>
      </c>
      <c r="AI20" s="3">
        <v>99.772589999999994</v>
      </c>
      <c r="AJ20" s="3">
        <v>98.598590000000002</v>
      </c>
      <c r="AK20" s="3">
        <v>98.449299999999994</v>
      </c>
      <c r="AL20" s="3">
        <v>95.316860000000005</v>
      </c>
      <c r="AM20" s="3">
        <v>87.170770000000005</v>
      </c>
      <c r="AN20" s="3">
        <v>99.922150000000002</v>
      </c>
      <c r="AO20" s="3">
        <v>99.922749999999994</v>
      </c>
      <c r="AP20" s="3">
        <v>99.737830000000002</v>
      </c>
      <c r="AQ20" s="3">
        <v>99.861710000000002</v>
      </c>
      <c r="AR20" s="3">
        <v>99.979920000000007</v>
      </c>
      <c r="AS20" s="3">
        <v>99.938739999999996</v>
      </c>
      <c r="AT20" s="3">
        <v>99.881789999999995</v>
      </c>
      <c r="AU20" s="3">
        <v>99.772450000000006</v>
      </c>
      <c r="AV20" s="3">
        <v>99.983400000000003</v>
      </c>
      <c r="AW20" s="3">
        <v>99.78331</v>
      </c>
      <c r="AX20" s="3">
        <v>99.939019999999999</v>
      </c>
      <c r="AY20" s="3">
        <v>99.95711</v>
      </c>
      <c r="AZ20" s="3">
        <v>99.910539999999997</v>
      </c>
      <c r="BA20" s="3">
        <v>99.956090000000003</v>
      </c>
      <c r="BB20" s="3">
        <v>99.889690000000002</v>
      </c>
      <c r="BC20" s="3">
        <v>99.856170000000006</v>
      </c>
      <c r="BD20" s="3">
        <v>99.902209999999997</v>
      </c>
      <c r="BE20" s="3">
        <v>99.836359999999999</v>
      </c>
      <c r="BF20" s="3">
        <v>99.992959999999997</v>
      </c>
      <c r="BG20" s="3">
        <v>99.924610000000001</v>
      </c>
      <c r="BH20" s="3">
        <v>99.927189999999996</v>
      </c>
      <c r="BI20" s="3">
        <v>99.989000000000004</v>
      </c>
      <c r="BJ20" s="3">
        <v>100</v>
      </c>
      <c r="BK20" s="3">
        <v>99.946719999999999</v>
      </c>
      <c r="BL20" s="3">
        <v>99.980930000000001</v>
      </c>
      <c r="BM20" s="3">
        <v>99.978899999999996</v>
      </c>
      <c r="BN20" s="3">
        <v>99.987009999999998</v>
      </c>
      <c r="BO20" s="3">
        <v>99.660250000000005</v>
      </c>
      <c r="BP20" s="3">
        <v>99.924059999999997</v>
      </c>
      <c r="BQ20" s="3">
        <v>99.90016</v>
      </c>
      <c r="BR20" s="3">
        <v>99.80086</v>
      </c>
      <c r="BS20" s="3">
        <v>99.97569</v>
      </c>
      <c r="BT20" s="3">
        <v>99.672880000000006</v>
      </c>
      <c r="BU20" s="3">
        <v>99.833290000000005</v>
      </c>
      <c r="BV20" s="3">
        <v>99.717820000000003</v>
      </c>
      <c r="BW20" s="3">
        <v>98.419120000000007</v>
      </c>
      <c r="BX20" s="3">
        <v>97.348590000000002</v>
      </c>
      <c r="BY20" s="3">
        <v>95.260930000000002</v>
      </c>
      <c r="BZ20" s="3">
        <v>90.052989999999994</v>
      </c>
      <c r="CA20" s="3">
        <v>94.131810000000002</v>
      </c>
      <c r="CB20" s="3">
        <v>99.056560000000005</v>
      </c>
      <c r="CC20" s="3">
        <v>96.976900000000001</v>
      </c>
      <c r="CD20" s="3">
        <v>87.972700000000003</v>
      </c>
      <c r="CE20" s="3">
        <v>91.541730000000001</v>
      </c>
      <c r="CF20" s="3">
        <v>89.698899999999995</v>
      </c>
      <c r="CG20" s="3">
        <v>99.323509999999999</v>
      </c>
      <c r="CH20" s="3">
        <v>99.294560000000004</v>
      </c>
      <c r="CI20" s="3">
        <v>99.38203</v>
      </c>
      <c r="CJ20" s="3">
        <v>99.499960000000002</v>
      </c>
      <c r="CK20" s="3">
        <v>99.988590000000002</v>
      </c>
      <c r="CL20" s="3">
        <v>99.439400000000006</v>
      </c>
      <c r="CM20" s="3">
        <v>99.635040000000004</v>
      </c>
      <c r="CN20" s="3">
        <v>99.417060000000006</v>
      </c>
      <c r="CO20" s="3">
        <v>99.116579999999999</v>
      </c>
      <c r="CP20" s="3">
        <v>99.979770000000002</v>
      </c>
      <c r="CQ20" s="3">
        <v>99.993570000000005</v>
      </c>
      <c r="CR20" s="3">
        <v>99.990089999999995</v>
      </c>
      <c r="CS20" s="3">
        <v>99.968860000000006</v>
      </c>
      <c r="CT20" s="3">
        <v>99.993229999999997</v>
      </c>
      <c r="CU20" s="3">
        <v>99.983670000000004</v>
      </c>
      <c r="CV20" s="3">
        <v>99.924940000000007</v>
      </c>
      <c r="CW20" s="3">
        <v>99.997669999999999</v>
      </c>
      <c r="CX20" s="3">
        <v>99.959220000000002</v>
      </c>
      <c r="CY20" s="3">
        <v>99.721019999999996</v>
      </c>
      <c r="CZ20" s="3">
        <v>99.988039999999998</v>
      </c>
      <c r="DA20" s="3">
        <v>99.961619999999996</v>
      </c>
      <c r="DB20" s="3">
        <v>99.978489999999994</v>
      </c>
      <c r="DC20" s="3">
        <v>99.993229999999997</v>
      </c>
      <c r="DD20" s="3">
        <v>100</v>
      </c>
      <c r="DE20" s="3">
        <v>99.985169999999997</v>
      </c>
      <c r="DF20" s="3">
        <v>99.998570000000001</v>
      </c>
      <c r="DG20" s="3">
        <v>99.927130000000005</v>
      </c>
    </row>
    <row r="21" spans="1:111" x14ac:dyDescent="0.2">
      <c r="C21" s="3" t="s">
        <v>184</v>
      </c>
      <c r="D21" s="3">
        <f>SLOPE(D2:D20,$C2:$C20)</f>
        <v>0.77365045175438607</v>
      </c>
      <c r="E21" s="3">
        <f>SLOPE(E2:E20,$C2:$C20)</f>
        <v>0.99588360087719319</v>
      </c>
      <c r="F21" s="3">
        <f t="shared" ref="F21:L21" si="0">SLOPE(F2:F20,$C2:$C20)</f>
        <v>1.1153659035087722</v>
      </c>
      <c r="G21" s="3">
        <f t="shared" si="0"/>
        <v>0.97702198684210506</v>
      </c>
      <c r="H21" s="3">
        <f t="shared" si="0"/>
        <v>0.82204667105263163</v>
      </c>
      <c r="I21" s="3">
        <f t="shared" si="0"/>
        <v>1.2380098333333334</v>
      </c>
      <c r="J21" s="3">
        <f t="shared" si="0"/>
        <v>1.170860846491228</v>
      </c>
      <c r="K21" s="3">
        <f t="shared" si="0"/>
        <v>1.1108568333333333</v>
      </c>
      <c r="L21" s="3">
        <f t="shared" si="0"/>
        <v>1.1559241140350875</v>
      </c>
    </row>
    <row r="22" spans="1:111" x14ac:dyDescent="0.2">
      <c r="C22" s="3" t="s">
        <v>185</v>
      </c>
      <c r="D22" s="3">
        <f>_xlfn.Z.TEST($D21:$L21,D21)</f>
        <v>2.9739683974283426E-7</v>
      </c>
      <c r="E22" s="3">
        <f t="shared" ref="E22:K22" si="1">_xlfn.Z.TEST($D21:$L21,E21)</f>
        <v>0.20430810288225987</v>
      </c>
      <c r="F22" s="3">
        <f t="shared" si="1"/>
        <v>0.92128955047078886</v>
      </c>
      <c r="G22" s="3">
        <f t="shared" si="1"/>
        <v>0.11900789913109611</v>
      </c>
      <c r="H22" s="3">
        <f t="shared" si="1"/>
        <v>2.1987514343592434E-5</v>
      </c>
      <c r="I22" s="3">
        <f t="shared" si="1"/>
        <v>0.99989767477258007</v>
      </c>
      <c r="J22" s="3">
        <f t="shared" si="1"/>
        <v>0.99294113208829815</v>
      </c>
      <c r="K22" s="3">
        <f t="shared" si="1"/>
        <v>0.90811892578983777</v>
      </c>
      <c r="L22" s="3">
        <f>_xlfn.Z.TEST($D21:$L21,L21)</f>
        <v>0.98515532645183768</v>
      </c>
    </row>
    <row r="23" spans="1:111" x14ac:dyDescent="0.2">
      <c r="C23" s="3" t="s">
        <v>192</v>
      </c>
      <c r="D23" s="3">
        <f>AVERAGE($D21:$L21)</f>
        <v>1.0399578045808968</v>
      </c>
    </row>
    <row r="24" spans="1:111" x14ac:dyDescent="0.2">
      <c r="C24" s="3" t="s">
        <v>193</v>
      </c>
      <c r="D24" s="3">
        <f>STDEV($D21:$L21)</f>
        <v>0.16001162924000084</v>
      </c>
    </row>
    <row r="25" spans="1:111" x14ac:dyDescent="0.2">
      <c r="C25" s="3" t="s">
        <v>186</v>
      </c>
      <c r="D25" s="3">
        <f t="shared" ref="D25:L25" si="2">STANDARDIZE(D21,AVERAGE($D21:$L21),STDEV($D21:$L21))</f>
        <v>-1.6642999892656387</v>
      </c>
      <c r="E25" s="3">
        <f t="shared" si="2"/>
        <v>-0.27544375313869779</v>
      </c>
      <c r="F25" s="3">
        <f t="shared" si="2"/>
        <v>0.4712663653638014</v>
      </c>
      <c r="G25" s="3">
        <f t="shared" si="2"/>
        <v>-0.3933202732683545</v>
      </c>
      <c r="H25" s="3">
        <f t="shared" si="2"/>
        <v>-1.361845601868231</v>
      </c>
      <c r="I25" s="3">
        <f t="shared" si="2"/>
        <v>1.2377352177033274</v>
      </c>
      <c r="J25" s="3">
        <f t="shared" si="2"/>
        <v>0.8180845513046443</v>
      </c>
      <c r="K25" s="3">
        <f t="shared" si="2"/>
        <v>0.44308672494106843</v>
      </c>
      <c r="L25" s="3">
        <f t="shared" si="2"/>
        <v>0.72473675822807415</v>
      </c>
    </row>
    <row r="26" spans="1:111" x14ac:dyDescent="0.2">
      <c r="C26" s="3" t="s">
        <v>194</v>
      </c>
      <c r="D26" s="3">
        <f>D24/SQRT(9)</f>
        <v>5.3337209746666947E-2</v>
      </c>
    </row>
    <row r="27" spans="1:111" x14ac:dyDescent="0.2">
      <c r="C27" s="3" t="s">
        <v>195</v>
      </c>
      <c r="D27" s="3">
        <f>D23+(1.96*D26)</f>
        <v>1.1444987356843641</v>
      </c>
    </row>
    <row r="28" spans="1:111" x14ac:dyDescent="0.2">
      <c r="C28" s="3" t="s">
        <v>187</v>
      </c>
      <c r="D28" s="3">
        <f>_xlfn.QUARTILE.EXC($D21:$L21,3)</f>
        <v>1.1633924802631577</v>
      </c>
    </row>
    <row r="29" spans="1:111" x14ac:dyDescent="0.2">
      <c r="C29" s="3" t="s">
        <v>188</v>
      </c>
      <c r="D29" s="3">
        <f>_xlfn.QUARTILE.EXC($D21:$L21,1)</f>
        <v>0.89953432894736829</v>
      </c>
    </row>
    <row r="30" spans="1:111" x14ac:dyDescent="0.2">
      <c r="C30" s="3" t="s">
        <v>191</v>
      </c>
      <c r="D30" s="3">
        <f>1.5*(D28-D29)</f>
        <v>0.39578722697368407</v>
      </c>
    </row>
    <row r="31" spans="1:111" x14ac:dyDescent="0.2">
      <c r="C31" s="3" t="s">
        <v>189</v>
      </c>
      <c r="D31" s="3">
        <f>D30-D29</f>
        <v>-0.50374710197368422</v>
      </c>
    </row>
    <row r="32" spans="1:111" x14ac:dyDescent="0.2">
      <c r="C32" s="3" t="s">
        <v>190</v>
      </c>
      <c r="D32" s="3">
        <f>D28+D30</f>
        <v>1.5591797072368418</v>
      </c>
    </row>
  </sheetData>
  <conditionalFormatting sqref="D28:D32 D1:XFD22 M23:XFD23 E24:XFD24 D25:XFD25 D33:XFD1048576 E26:XFD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{4576A70B-E267-D342-AA3F-F15F5CF468F0}</x14:id>
        </ext>
      </extLst>
    </cfRule>
  </conditionalFormatting>
  <pageMargins left="0.7" right="0.7" top="0.75" bottom="0.75" header="0.3" footer="0.3"/>
  <pageSetup orientation="portrait" horizontalDpi="0" verticalDpi="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76A70B-E267-D342-AA3F-F15F5CF46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D28:D32 D1:XFD22 M23:XFD23 E24:XFD24 D25:XFD25 D33:XFD1048576 E26:XFD32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3C12-B6A5-704B-8B44-B72E51DB53F7}">
  <dimension ref="A1:DF27"/>
  <sheetViews>
    <sheetView workbookViewId="0">
      <selection activeCell="CJ8" sqref="CJ8"/>
    </sheetView>
  </sheetViews>
  <sheetFormatPr baseColWidth="10" defaultRowHeight="16" x14ac:dyDescent="0.2"/>
  <sheetData>
    <row r="1" spans="1:110" x14ac:dyDescent="0.2">
      <c r="A1" t="s">
        <v>0</v>
      </c>
    </row>
    <row r="2" spans="1:110" x14ac:dyDescent="0.2">
      <c r="A2" t="s">
        <v>1</v>
      </c>
    </row>
    <row r="3" spans="1:110" x14ac:dyDescent="0.2">
      <c r="A3" t="s">
        <v>2</v>
      </c>
    </row>
    <row r="4" spans="1:110" x14ac:dyDescent="0.2">
      <c r="A4" t="s">
        <v>3</v>
      </c>
    </row>
    <row r="5" spans="1:110" x14ac:dyDescent="0.2">
      <c r="A5" t="s">
        <v>4</v>
      </c>
    </row>
    <row r="6" spans="1:110" x14ac:dyDescent="0.2">
      <c r="A6" t="s">
        <v>5</v>
      </c>
    </row>
    <row r="8" spans="1:110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36</v>
      </c>
      <c r="AF8" t="s">
        <v>37</v>
      </c>
      <c r="AG8" t="s">
        <v>38</v>
      </c>
      <c r="AH8" t="s">
        <v>39</v>
      </c>
      <c r="AI8" t="s">
        <v>40</v>
      </c>
      <c r="AJ8" t="s">
        <v>41</v>
      </c>
      <c r="AK8" t="s">
        <v>42</v>
      </c>
      <c r="AL8" t="s">
        <v>43</v>
      </c>
      <c r="AM8" t="s">
        <v>44</v>
      </c>
      <c r="AN8" t="s">
        <v>45</v>
      </c>
      <c r="AO8" t="s">
        <v>46</v>
      </c>
      <c r="AP8" t="s">
        <v>47</v>
      </c>
      <c r="AQ8" t="s">
        <v>48</v>
      </c>
      <c r="AR8" t="s">
        <v>49</v>
      </c>
      <c r="AS8" t="s">
        <v>50</v>
      </c>
      <c r="AT8" t="s">
        <v>51</v>
      </c>
      <c r="AU8" t="s">
        <v>52</v>
      </c>
      <c r="AV8" t="s">
        <v>53</v>
      </c>
      <c r="AW8" t="s">
        <v>54</v>
      </c>
      <c r="AX8" t="s">
        <v>55</v>
      </c>
      <c r="AY8" t="s">
        <v>56</v>
      </c>
      <c r="AZ8" t="s">
        <v>57</v>
      </c>
      <c r="BA8" t="s">
        <v>58</v>
      </c>
      <c r="BB8" t="s">
        <v>59</v>
      </c>
      <c r="BC8" t="s">
        <v>60</v>
      </c>
      <c r="BD8" t="s">
        <v>61</v>
      </c>
      <c r="BE8" t="s">
        <v>62</v>
      </c>
      <c r="BF8" t="s">
        <v>63</v>
      </c>
      <c r="BG8" t="s">
        <v>64</v>
      </c>
      <c r="BH8" t="s">
        <v>65</v>
      </c>
      <c r="BI8" t="s">
        <v>66</v>
      </c>
      <c r="BJ8" t="s">
        <v>67</v>
      </c>
      <c r="BK8" t="s">
        <v>68</v>
      </c>
      <c r="BL8" t="s">
        <v>69</v>
      </c>
      <c r="BM8" t="s">
        <v>70</v>
      </c>
      <c r="BN8" t="s">
        <v>71</v>
      </c>
      <c r="BO8" t="s">
        <v>72</v>
      </c>
      <c r="BP8" t="s">
        <v>73</v>
      </c>
      <c r="BQ8" t="s">
        <v>74</v>
      </c>
      <c r="BR8" t="s">
        <v>75</v>
      </c>
      <c r="BS8" t="s">
        <v>76</v>
      </c>
      <c r="BT8" t="s">
        <v>77</v>
      </c>
      <c r="BU8" t="s">
        <v>78</v>
      </c>
      <c r="BV8" t="s">
        <v>79</v>
      </c>
      <c r="BW8" t="s">
        <v>80</v>
      </c>
      <c r="BX8" t="s">
        <v>81</v>
      </c>
      <c r="BY8" t="s">
        <v>82</v>
      </c>
      <c r="BZ8" t="s">
        <v>83</v>
      </c>
      <c r="CA8" t="s">
        <v>84</v>
      </c>
      <c r="CB8" t="s">
        <v>85</v>
      </c>
      <c r="CC8" t="s">
        <v>86</v>
      </c>
      <c r="CD8" t="s">
        <v>87</v>
      </c>
      <c r="CE8" t="s">
        <v>88</v>
      </c>
      <c r="CF8" t="s">
        <v>89</v>
      </c>
      <c r="CG8" t="s">
        <v>90</v>
      </c>
      <c r="CH8" t="s">
        <v>91</v>
      </c>
      <c r="CI8" t="s">
        <v>92</v>
      </c>
      <c r="CJ8" t="s">
        <v>93</v>
      </c>
      <c r="CK8" t="s">
        <v>94</v>
      </c>
      <c r="CL8" t="s">
        <v>95</v>
      </c>
      <c r="CM8" t="s">
        <v>96</v>
      </c>
      <c r="CN8" t="s">
        <v>97</v>
      </c>
      <c r="CO8" t="s">
        <v>98</v>
      </c>
      <c r="CP8" t="s">
        <v>99</v>
      </c>
      <c r="CQ8" t="s">
        <v>100</v>
      </c>
      <c r="CR8" t="s">
        <v>101</v>
      </c>
      <c r="CS8" t="s">
        <v>102</v>
      </c>
      <c r="CT8" t="s">
        <v>103</v>
      </c>
      <c r="CU8" t="s">
        <v>104</v>
      </c>
      <c r="CV8" t="s">
        <v>105</v>
      </c>
      <c r="CW8" t="s">
        <v>106</v>
      </c>
      <c r="CX8" t="s">
        <v>107</v>
      </c>
      <c r="CY8" t="s">
        <v>108</v>
      </c>
      <c r="CZ8" t="s">
        <v>109</v>
      </c>
      <c r="DA8" t="s">
        <v>110</v>
      </c>
      <c r="DB8" t="s">
        <v>111</v>
      </c>
      <c r="DC8" t="s">
        <v>112</v>
      </c>
      <c r="DD8" t="s">
        <v>113</v>
      </c>
      <c r="DE8" t="s">
        <v>114</v>
      </c>
      <c r="DF8" t="s">
        <v>115</v>
      </c>
    </row>
    <row r="9" spans="1:110" x14ac:dyDescent="0.2">
      <c r="A9" s="1">
        <v>45364.693055555559</v>
      </c>
      <c r="B9">
        <v>0</v>
      </c>
      <c r="C9">
        <v>15.90103</v>
      </c>
      <c r="D9">
        <v>19.931509999999999</v>
      </c>
      <c r="E9">
        <v>20.285450000000001</v>
      </c>
      <c r="F9">
        <v>20.816759999999999</v>
      </c>
      <c r="G9">
        <v>47.85163</v>
      </c>
      <c r="H9">
        <v>21.158760000000001</v>
      </c>
      <c r="I9">
        <v>26.945550000000001</v>
      </c>
      <c r="J9">
        <v>30.419979999999999</v>
      </c>
      <c r="K9">
        <v>17.481629999999999</v>
      </c>
      <c r="L9">
        <v>20.070270000000001</v>
      </c>
      <c r="M9">
        <v>20.81615</v>
      </c>
      <c r="N9">
        <v>26.13814</v>
      </c>
      <c r="O9">
        <v>22.399609999999999</v>
      </c>
      <c r="P9">
        <v>50.692959999999999</v>
      </c>
      <c r="Q9">
        <v>19.772939999999998</v>
      </c>
      <c r="R9">
        <v>23.766190000000002</v>
      </c>
      <c r="S9">
        <v>24.178039999999999</v>
      </c>
      <c r="T9">
        <v>17.18272</v>
      </c>
      <c r="U9">
        <v>23.498139999999999</v>
      </c>
      <c r="V9">
        <v>26.788810000000002</v>
      </c>
      <c r="W9">
        <v>27.144749999999998</v>
      </c>
      <c r="X9">
        <v>29.048770000000001</v>
      </c>
      <c r="Y9">
        <v>73.499080000000006</v>
      </c>
      <c r="Z9">
        <v>25.321169999999999</v>
      </c>
      <c r="AA9">
        <v>22.792280000000002</v>
      </c>
      <c r="AB9">
        <v>29.01407</v>
      </c>
      <c r="AC9">
        <v>25.156659999999999</v>
      </c>
      <c r="AD9">
        <v>12.608169999999999</v>
      </c>
      <c r="AE9">
        <v>11.771129999999999</v>
      </c>
      <c r="AF9">
        <v>15.2356</v>
      </c>
      <c r="AG9">
        <v>14.961819999999999</v>
      </c>
      <c r="AH9">
        <v>38.460380000000001</v>
      </c>
      <c r="AI9">
        <v>18.085049999999999</v>
      </c>
      <c r="AJ9">
        <v>18.655069999999998</v>
      </c>
      <c r="AK9">
        <v>14.740080000000001</v>
      </c>
      <c r="AL9">
        <v>8.9908629999999992</v>
      </c>
      <c r="AM9">
        <v>17.667719999999999</v>
      </c>
      <c r="AN9">
        <v>18.494319999999998</v>
      </c>
      <c r="AO9">
        <v>21.869669999999999</v>
      </c>
      <c r="AP9">
        <v>26.642610000000001</v>
      </c>
      <c r="AQ9">
        <v>39.868679999999998</v>
      </c>
      <c r="AR9">
        <v>28.024609999999999</v>
      </c>
      <c r="AS9">
        <v>23.292590000000001</v>
      </c>
      <c r="AT9">
        <v>24.987909999999999</v>
      </c>
      <c r="AU9">
        <v>30.37547</v>
      </c>
      <c r="AV9">
        <v>22.458480000000002</v>
      </c>
      <c r="AW9">
        <v>21.506979999999999</v>
      </c>
      <c r="AX9">
        <v>23.032869999999999</v>
      </c>
      <c r="AY9">
        <v>19.969200000000001</v>
      </c>
      <c r="AZ9">
        <v>29.57639</v>
      </c>
      <c r="BA9">
        <v>17.918900000000001</v>
      </c>
      <c r="BB9">
        <v>21.106179999999998</v>
      </c>
      <c r="BC9">
        <v>18.7149</v>
      </c>
      <c r="BD9">
        <v>14.795529999999999</v>
      </c>
      <c r="BE9">
        <v>22.847390000000001</v>
      </c>
      <c r="BF9">
        <v>26.550550000000001</v>
      </c>
      <c r="BG9">
        <v>22.749189999999999</v>
      </c>
      <c r="BH9">
        <v>26.705159999999999</v>
      </c>
      <c r="BI9">
        <v>48.287260000000003</v>
      </c>
      <c r="BJ9">
        <v>28.017099999999999</v>
      </c>
      <c r="BK9">
        <v>28.34496</v>
      </c>
      <c r="BL9">
        <v>28.615459999999999</v>
      </c>
      <c r="BM9">
        <v>28.15812</v>
      </c>
      <c r="BN9">
        <v>11.771879999999999</v>
      </c>
      <c r="BO9">
        <v>12.697979999999999</v>
      </c>
      <c r="BP9">
        <v>13.96368</v>
      </c>
      <c r="BQ9">
        <v>15.91981</v>
      </c>
      <c r="BR9">
        <v>25.963930000000001</v>
      </c>
      <c r="BS9">
        <v>12.34211</v>
      </c>
      <c r="BT9">
        <v>16.214490000000001</v>
      </c>
      <c r="BU9">
        <v>13.91212</v>
      </c>
      <c r="BV9">
        <v>8.7351100000000006</v>
      </c>
      <c r="BW9">
        <v>23.25844</v>
      </c>
      <c r="BX9">
        <v>23.44248</v>
      </c>
      <c r="BY9">
        <v>21.906410000000001</v>
      </c>
      <c r="BZ9">
        <v>14.891209999999999</v>
      </c>
      <c r="CA9">
        <v>42.452669999999998</v>
      </c>
      <c r="CB9">
        <v>22.45431</v>
      </c>
      <c r="CC9">
        <v>17.699000000000002</v>
      </c>
      <c r="CD9">
        <v>25.678740000000001</v>
      </c>
      <c r="CE9">
        <v>16.62499</v>
      </c>
      <c r="CF9">
        <v>30.942900000000002</v>
      </c>
      <c r="CG9">
        <v>26.478840000000002</v>
      </c>
      <c r="CH9">
        <v>27.425219999999999</v>
      </c>
      <c r="CI9">
        <v>30.40127</v>
      </c>
      <c r="CJ9">
        <v>70.098479999999995</v>
      </c>
      <c r="CK9">
        <v>29.156189999999999</v>
      </c>
      <c r="CL9">
        <v>35.371839999999999</v>
      </c>
      <c r="CM9">
        <v>27.483470000000001</v>
      </c>
      <c r="CN9">
        <v>22.273340000000001</v>
      </c>
      <c r="CO9">
        <v>24.56485</v>
      </c>
      <c r="CP9">
        <v>26.320340000000002</v>
      </c>
      <c r="CQ9">
        <v>28.644760000000002</v>
      </c>
      <c r="CR9">
        <v>29.662569999999999</v>
      </c>
      <c r="CS9">
        <v>44.712420000000002</v>
      </c>
      <c r="CT9">
        <v>28.83201</v>
      </c>
      <c r="CU9">
        <v>24.742059999999999</v>
      </c>
      <c r="CV9">
        <v>21.565639999999998</v>
      </c>
      <c r="CW9">
        <v>17.59704</v>
      </c>
      <c r="CX9">
        <v>17.477119999999999</v>
      </c>
      <c r="CY9">
        <v>24.421500000000002</v>
      </c>
      <c r="CZ9">
        <v>33.825249999999997</v>
      </c>
      <c r="DA9">
        <v>26.851030000000002</v>
      </c>
      <c r="DB9">
        <v>35.824199999999998</v>
      </c>
      <c r="DC9">
        <v>23.74823</v>
      </c>
      <c r="DD9">
        <v>26.888860000000001</v>
      </c>
      <c r="DE9">
        <v>25.711939999999998</v>
      </c>
      <c r="DF9">
        <v>20.376629999999999</v>
      </c>
    </row>
    <row r="10" spans="1:110" x14ac:dyDescent="0.2">
      <c r="A10" s="1">
        <v>45364.859722222223</v>
      </c>
      <c r="B10">
        <v>4</v>
      </c>
      <c r="C10">
        <v>13.70022</v>
      </c>
      <c r="D10">
        <v>17.716069999999998</v>
      </c>
      <c r="E10">
        <v>17.29635</v>
      </c>
      <c r="F10">
        <v>18.042100000000001</v>
      </c>
      <c r="G10">
        <v>49.066319999999997</v>
      </c>
      <c r="H10">
        <v>21.104469999999999</v>
      </c>
      <c r="I10">
        <v>25.140339999999998</v>
      </c>
      <c r="J10">
        <v>30.41958</v>
      </c>
      <c r="K10">
        <v>16.754940000000001</v>
      </c>
      <c r="L10">
        <v>13.885899999999999</v>
      </c>
      <c r="M10">
        <v>16.50131</v>
      </c>
      <c r="N10">
        <v>23.56493</v>
      </c>
      <c r="O10">
        <v>16.367190000000001</v>
      </c>
      <c r="P10">
        <v>47.052900000000001</v>
      </c>
      <c r="Q10">
        <v>19.506119999999999</v>
      </c>
      <c r="R10">
        <v>19.66264</v>
      </c>
      <c r="S10">
        <v>19.620709999999999</v>
      </c>
      <c r="T10">
        <v>15.061730000000001</v>
      </c>
      <c r="U10">
        <v>26.046489999999999</v>
      </c>
      <c r="V10">
        <v>34.123550000000002</v>
      </c>
      <c r="W10">
        <v>32.870539999999998</v>
      </c>
      <c r="X10">
        <v>33.62585</v>
      </c>
      <c r="Y10">
        <v>88.875370000000004</v>
      </c>
      <c r="Z10">
        <v>31.932700000000001</v>
      </c>
      <c r="AA10">
        <v>30.240449999999999</v>
      </c>
      <c r="AB10">
        <v>36.379890000000003</v>
      </c>
      <c r="AC10">
        <v>32.001959999999997</v>
      </c>
      <c r="AD10">
        <v>11.09976</v>
      </c>
      <c r="AE10">
        <v>10.27009</v>
      </c>
      <c r="AF10">
        <v>14.12894</v>
      </c>
      <c r="AG10">
        <v>12.36232</v>
      </c>
      <c r="AH10">
        <v>40.115139999999997</v>
      </c>
      <c r="AI10">
        <v>16.269120000000001</v>
      </c>
      <c r="AJ10">
        <v>17.138529999999999</v>
      </c>
      <c r="AK10">
        <v>13.660130000000001</v>
      </c>
      <c r="AL10">
        <v>8.4062210000000004</v>
      </c>
      <c r="AM10">
        <v>19.24333</v>
      </c>
      <c r="AN10">
        <v>19.17258</v>
      </c>
      <c r="AO10">
        <v>22.954270000000001</v>
      </c>
      <c r="AP10">
        <v>27.71696</v>
      </c>
      <c r="AQ10">
        <v>44.264780000000002</v>
      </c>
      <c r="AR10">
        <v>29.49635</v>
      </c>
      <c r="AS10">
        <v>22.32948</v>
      </c>
      <c r="AT10">
        <v>24.975819999999999</v>
      </c>
      <c r="AU10">
        <v>30.44594</v>
      </c>
      <c r="AV10">
        <v>21.582100000000001</v>
      </c>
      <c r="AW10">
        <v>21.098459999999999</v>
      </c>
      <c r="AX10">
        <v>26.489429999999999</v>
      </c>
      <c r="AY10">
        <v>22.4636</v>
      </c>
      <c r="AZ10">
        <v>36.633589999999998</v>
      </c>
      <c r="BA10">
        <v>19.315449999999998</v>
      </c>
      <c r="BB10">
        <v>21.854369999999999</v>
      </c>
      <c r="BC10">
        <v>20.11111</v>
      </c>
      <c r="BD10">
        <v>15.72443</v>
      </c>
      <c r="BE10">
        <v>29.816569999999999</v>
      </c>
      <c r="BF10">
        <v>30.108029999999999</v>
      </c>
      <c r="BG10">
        <v>25.38646</v>
      </c>
      <c r="BH10">
        <v>30.482340000000001</v>
      </c>
      <c r="BI10">
        <v>56.892690000000002</v>
      </c>
      <c r="BJ10">
        <v>33.868070000000003</v>
      </c>
      <c r="BK10">
        <v>34.944000000000003</v>
      </c>
      <c r="BL10">
        <v>35.855550000000001</v>
      </c>
      <c r="BM10">
        <v>34.747669999999999</v>
      </c>
      <c r="BN10">
        <v>12.638769999999999</v>
      </c>
      <c r="BO10">
        <v>13.046060000000001</v>
      </c>
      <c r="BP10">
        <v>11.99943</v>
      </c>
      <c r="BQ10">
        <v>15.47414</v>
      </c>
      <c r="BR10">
        <v>25.28464</v>
      </c>
      <c r="BS10">
        <v>13.669140000000001</v>
      </c>
      <c r="BT10">
        <v>17.179510000000001</v>
      </c>
      <c r="BU10">
        <v>13.415649999999999</v>
      </c>
      <c r="BV10">
        <v>8.7044490000000003</v>
      </c>
      <c r="BW10">
        <v>21.261060000000001</v>
      </c>
      <c r="BX10">
        <v>20.38345</v>
      </c>
      <c r="BY10">
        <v>18.487010000000001</v>
      </c>
      <c r="BZ10">
        <v>12.481769999999999</v>
      </c>
      <c r="CA10">
        <v>36.651209999999999</v>
      </c>
      <c r="CB10">
        <v>18.435929999999999</v>
      </c>
      <c r="CC10">
        <v>13.40649</v>
      </c>
      <c r="CD10">
        <v>19.272770000000001</v>
      </c>
      <c r="CE10">
        <v>12.53504</v>
      </c>
      <c r="CF10">
        <v>34.541890000000002</v>
      </c>
      <c r="CG10">
        <v>33.248260000000002</v>
      </c>
      <c r="CH10">
        <v>32.229559999999999</v>
      </c>
      <c r="CI10">
        <v>33.557969999999997</v>
      </c>
      <c r="CJ10">
        <v>82.525270000000006</v>
      </c>
      <c r="CK10">
        <v>27.92484</v>
      </c>
      <c r="CL10">
        <v>40.670479999999998</v>
      </c>
      <c r="CM10">
        <v>27.05959</v>
      </c>
      <c r="CN10">
        <v>25.38147</v>
      </c>
      <c r="CO10">
        <v>22.467420000000001</v>
      </c>
      <c r="CP10">
        <v>24.93806</v>
      </c>
      <c r="CQ10">
        <v>26.650189999999998</v>
      </c>
      <c r="CR10">
        <v>25.731739999999999</v>
      </c>
      <c r="CS10">
        <v>46.978400000000001</v>
      </c>
      <c r="CT10">
        <v>28.09843</v>
      </c>
      <c r="CU10">
        <v>22.16114</v>
      </c>
      <c r="CV10">
        <v>19.364409999999999</v>
      </c>
      <c r="CW10">
        <v>15.452489999999999</v>
      </c>
      <c r="CX10">
        <v>14.7967</v>
      </c>
      <c r="CY10">
        <v>23.98847</v>
      </c>
      <c r="CZ10">
        <v>32.302909999999997</v>
      </c>
      <c r="DA10">
        <v>24.502980000000001</v>
      </c>
      <c r="DB10">
        <v>36.445999999999998</v>
      </c>
      <c r="DC10">
        <v>25.454889999999999</v>
      </c>
      <c r="DD10">
        <v>23.200389999999999</v>
      </c>
      <c r="DE10">
        <v>21.779530000000001</v>
      </c>
      <c r="DF10">
        <v>18.325369999999999</v>
      </c>
    </row>
    <row r="11" spans="1:110" x14ac:dyDescent="0.2">
      <c r="A11" s="1">
        <v>45365.026388888888</v>
      </c>
      <c r="B11">
        <v>8</v>
      </c>
      <c r="C11">
        <v>14.63772</v>
      </c>
      <c r="D11">
        <v>18.375150000000001</v>
      </c>
      <c r="E11">
        <v>17.046340000000001</v>
      </c>
      <c r="F11">
        <v>19.791509999999999</v>
      </c>
      <c r="G11">
        <v>48.511180000000003</v>
      </c>
      <c r="H11">
        <v>20.22099</v>
      </c>
      <c r="I11">
        <v>26.844000000000001</v>
      </c>
      <c r="J11">
        <v>31.502880000000001</v>
      </c>
      <c r="K11">
        <v>17.633240000000001</v>
      </c>
      <c r="L11">
        <v>15.986459999999999</v>
      </c>
      <c r="M11">
        <v>14.54928</v>
      </c>
      <c r="N11">
        <v>22.417369999999998</v>
      </c>
      <c r="O11">
        <v>16.992049999999999</v>
      </c>
      <c r="P11">
        <v>41.69014</v>
      </c>
      <c r="Q11">
        <v>20.003209999999999</v>
      </c>
      <c r="R11">
        <v>19.563960000000002</v>
      </c>
      <c r="S11">
        <v>19.57619</v>
      </c>
      <c r="T11">
        <v>16.015139999999999</v>
      </c>
      <c r="U11">
        <v>26.82282</v>
      </c>
      <c r="V11">
        <v>33.680340000000001</v>
      </c>
      <c r="W11">
        <v>34.21123</v>
      </c>
      <c r="X11">
        <v>37.13026</v>
      </c>
      <c r="Y11">
        <v>90.440669999999997</v>
      </c>
      <c r="Z11">
        <v>33.801699999999997</v>
      </c>
      <c r="AA11">
        <v>32.72475</v>
      </c>
      <c r="AB11">
        <v>37.617660000000001</v>
      </c>
      <c r="AC11">
        <v>30.75694</v>
      </c>
      <c r="AD11">
        <v>12.27505</v>
      </c>
      <c r="AE11">
        <v>11.23142</v>
      </c>
      <c r="AF11">
        <v>15.059279999999999</v>
      </c>
      <c r="AG11">
        <v>12.68425</v>
      </c>
      <c r="AH11">
        <v>45.029159999999997</v>
      </c>
      <c r="AI11">
        <v>15.846120000000001</v>
      </c>
      <c r="AJ11">
        <v>18.735040000000001</v>
      </c>
      <c r="AK11">
        <v>12.68432</v>
      </c>
      <c r="AL11">
        <v>8.2559839999999998</v>
      </c>
      <c r="AM11">
        <v>22.970800000000001</v>
      </c>
      <c r="AN11">
        <v>23.38888</v>
      </c>
      <c r="AO11">
        <v>23.031369999999999</v>
      </c>
      <c r="AP11">
        <v>31.872209999999999</v>
      </c>
      <c r="AQ11">
        <v>50.779130000000002</v>
      </c>
      <c r="AR11">
        <v>31.897189999999998</v>
      </c>
      <c r="AS11">
        <v>26.826720000000002</v>
      </c>
      <c r="AT11">
        <v>27.565149999999999</v>
      </c>
      <c r="AU11">
        <v>33.18618</v>
      </c>
      <c r="AV11">
        <v>23.770489999999999</v>
      </c>
      <c r="AW11">
        <v>23.33568</v>
      </c>
      <c r="AX11">
        <v>30.283339999999999</v>
      </c>
      <c r="AY11">
        <v>24.923439999999999</v>
      </c>
      <c r="AZ11">
        <v>41.096760000000003</v>
      </c>
      <c r="BA11">
        <v>22.010899999999999</v>
      </c>
      <c r="BB11">
        <v>25.003070000000001</v>
      </c>
      <c r="BC11">
        <v>22.42249</v>
      </c>
      <c r="BD11">
        <v>18.491720000000001</v>
      </c>
      <c r="BE11">
        <v>30.911069999999999</v>
      </c>
      <c r="BF11">
        <v>30.49634</v>
      </c>
      <c r="BG11">
        <v>27.43703</v>
      </c>
      <c r="BH11">
        <v>32.977350000000001</v>
      </c>
      <c r="BI11">
        <v>63.571820000000002</v>
      </c>
      <c r="BJ11">
        <v>35.6922</v>
      </c>
      <c r="BK11">
        <v>36.924639999999997</v>
      </c>
      <c r="BL11">
        <v>39.128059999999998</v>
      </c>
      <c r="BM11">
        <v>38.222999999999999</v>
      </c>
      <c r="BN11">
        <v>13.955970000000001</v>
      </c>
      <c r="BO11">
        <v>15.793950000000001</v>
      </c>
      <c r="BP11">
        <v>15.95</v>
      </c>
      <c r="BQ11">
        <v>15.774150000000001</v>
      </c>
      <c r="BR11">
        <v>29.26614</v>
      </c>
      <c r="BS11">
        <v>15.110290000000001</v>
      </c>
      <c r="BT11">
        <v>18.706219999999998</v>
      </c>
      <c r="BU11">
        <v>13.334239999999999</v>
      </c>
      <c r="BV11">
        <v>9.7105130000000006</v>
      </c>
      <c r="BW11">
        <v>20.905809999999999</v>
      </c>
      <c r="BX11">
        <v>20.386389999999999</v>
      </c>
      <c r="BY11">
        <v>19.315930000000002</v>
      </c>
      <c r="BZ11">
        <v>14.90193</v>
      </c>
      <c r="CA11">
        <v>35.708240000000004</v>
      </c>
      <c r="CB11">
        <v>18.189050000000002</v>
      </c>
      <c r="CC11">
        <v>14.88363</v>
      </c>
      <c r="CD11">
        <v>19.306229999999999</v>
      </c>
      <c r="CE11">
        <v>12.478009999999999</v>
      </c>
      <c r="CF11">
        <v>38.179839999999999</v>
      </c>
      <c r="CG11">
        <v>34.93826</v>
      </c>
      <c r="CH11">
        <v>31.182729999999999</v>
      </c>
      <c r="CI11">
        <v>35.559229999999999</v>
      </c>
      <c r="CJ11">
        <v>84.269139999999993</v>
      </c>
      <c r="CK11">
        <v>36.14893</v>
      </c>
      <c r="CL11">
        <v>40.580129999999997</v>
      </c>
      <c r="CM11">
        <v>28.090710000000001</v>
      </c>
      <c r="CN11">
        <v>26.33952</v>
      </c>
      <c r="CO11">
        <v>25.70872</v>
      </c>
      <c r="CP11">
        <v>28.2303</v>
      </c>
      <c r="CQ11">
        <v>29.180299999999999</v>
      </c>
      <c r="CR11">
        <v>28.79541</v>
      </c>
      <c r="CS11">
        <v>53.084490000000002</v>
      </c>
      <c r="CT11">
        <v>31.73057</v>
      </c>
      <c r="CU11">
        <v>24.635120000000001</v>
      </c>
      <c r="CV11">
        <v>22.443110000000001</v>
      </c>
      <c r="CW11">
        <v>18.824570000000001</v>
      </c>
      <c r="CX11">
        <v>16.541879999999999</v>
      </c>
      <c r="CY11">
        <v>25.786429999999999</v>
      </c>
      <c r="CZ11">
        <v>31.808959999999999</v>
      </c>
      <c r="DA11">
        <v>26.683299999999999</v>
      </c>
      <c r="DB11">
        <v>39.444450000000003</v>
      </c>
      <c r="DC11">
        <v>29.67746</v>
      </c>
      <c r="DD11">
        <v>28.866779999999999</v>
      </c>
      <c r="DE11">
        <v>23.645099999999999</v>
      </c>
      <c r="DF11">
        <v>22.010760000000001</v>
      </c>
    </row>
    <row r="12" spans="1:110" x14ac:dyDescent="0.2">
      <c r="A12" s="1">
        <v>45365.193055555559</v>
      </c>
      <c r="B12">
        <v>12</v>
      </c>
      <c r="C12">
        <v>13.132099999999999</v>
      </c>
      <c r="D12">
        <v>18.823889999999999</v>
      </c>
      <c r="E12">
        <v>19.819710000000001</v>
      </c>
      <c r="F12">
        <v>19.826740000000001</v>
      </c>
      <c r="G12">
        <v>52.07235</v>
      </c>
      <c r="H12">
        <v>22.608779999999999</v>
      </c>
      <c r="I12">
        <v>27.27046</v>
      </c>
      <c r="J12">
        <v>34.55733</v>
      </c>
      <c r="K12">
        <v>18.275510000000001</v>
      </c>
      <c r="L12">
        <v>16.352370000000001</v>
      </c>
      <c r="M12">
        <v>15.53281</v>
      </c>
      <c r="N12">
        <v>23.179500000000001</v>
      </c>
      <c r="O12">
        <v>17.303049999999999</v>
      </c>
      <c r="P12">
        <v>44.944279999999999</v>
      </c>
      <c r="Q12">
        <v>22.29636</v>
      </c>
      <c r="R12">
        <v>20.228429999999999</v>
      </c>
      <c r="S12">
        <v>21.271989999999999</v>
      </c>
      <c r="T12">
        <v>18.490020000000001</v>
      </c>
      <c r="U12">
        <v>30.223369999999999</v>
      </c>
      <c r="V12">
        <v>38.09939</v>
      </c>
      <c r="W12">
        <v>34.83596</v>
      </c>
      <c r="X12">
        <v>37.695799999999998</v>
      </c>
      <c r="Y12">
        <v>93.166989999999998</v>
      </c>
      <c r="Z12">
        <v>37.588909999999998</v>
      </c>
      <c r="AA12">
        <v>35.80153</v>
      </c>
      <c r="AB12">
        <v>42.510100000000001</v>
      </c>
      <c r="AC12">
        <v>35.43974</v>
      </c>
      <c r="AD12">
        <v>13.90795</v>
      </c>
      <c r="AE12">
        <v>13.56329</v>
      </c>
      <c r="AF12">
        <v>17.523219999999998</v>
      </c>
      <c r="AG12">
        <v>13.804080000000001</v>
      </c>
      <c r="AH12">
        <v>48.978430000000003</v>
      </c>
      <c r="AI12">
        <v>19.05547</v>
      </c>
      <c r="AJ12">
        <v>20.115880000000001</v>
      </c>
      <c r="AK12">
        <v>17.15288</v>
      </c>
      <c r="AL12">
        <v>9.1783219999999996</v>
      </c>
      <c r="AM12">
        <v>25.658190000000001</v>
      </c>
      <c r="AN12">
        <v>24.869769999999999</v>
      </c>
      <c r="AO12">
        <v>29.275289999999998</v>
      </c>
      <c r="AP12">
        <v>34.91095</v>
      </c>
      <c r="AQ12">
        <v>57.407589999999999</v>
      </c>
      <c r="AR12">
        <v>38.104509999999998</v>
      </c>
      <c r="AS12">
        <v>26.492229999999999</v>
      </c>
      <c r="AT12">
        <v>27.904689999999999</v>
      </c>
      <c r="AU12">
        <v>36.940010000000001</v>
      </c>
      <c r="AV12">
        <v>27.416139999999999</v>
      </c>
      <c r="AW12">
        <v>25.39199</v>
      </c>
      <c r="AX12">
        <v>30.845030000000001</v>
      </c>
      <c r="AY12">
        <v>26.988420000000001</v>
      </c>
      <c r="AZ12">
        <v>45.752569999999999</v>
      </c>
      <c r="BA12">
        <v>24.759679999999999</v>
      </c>
      <c r="BB12">
        <v>26.173380000000002</v>
      </c>
      <c r="BC12">
        <v>26.181840000000001</v>
      </c>
      <c r="BD12">
        <v>20.18985</v>
      </c>
      <c r="BE12">
        <v>33.891829999999999</v>
      </c>
      <c r="BF12">
        <v>36.762860000000003</v>
      </c>
      <c r="BG12">
        <v>32.364989999999999</v>
      </c>
      <c r="BH12">
        <v>36.681319999999999</v>
      </c>
      <c r="BI12">
        <v>69.770200000000003</v>
      </c>
      <c r="BJ12">
        <v>41.090269999999997</v>
      </c>
      <c r="BK12">
        <v>42.053510000000003</v>
      </c>
      <c r="BL12">
        <v>44.637369999999997</v>
      </c>
      <c r="BM12">
        <v>40.963450000000002</v>
      </c>
      <c r="BN12">
        <v>17.178830000000001</v>
      </c>
      <c r="BO12">
        <v>17.794609999999999</v>
      </c>
      <c r="BP12">
        <v>18.223949999999999</v>
      </c>
      <c r="BQ12">
        <v>19.62255</v>
      </c>
      <c r="BR12">
        <v>33.169989999999999</v>
      </c>
      <c r="BS12">
        <v>16.963640000000002</v>
      </c>
      <c r="BT12">
        <v>21.09027</v>
      </c>
      <c r="BU12">
        <v>15.77538</v>
      </c>
      <c r="BV12">
        <v>11.087400000000001</v>
      </c>
      <c r="BW12">
        <v>22.378579999999999</v>
      </c>
      <c r="BX12">
        <v>22.740860000000001</v>
      </c>
      <c r="BY12">
        <v>18.291350000000001</v>
      </c>
      <c r="BZ12">
        <v>15.65286</v>
      </c>
      <c r="CA12">
        <v>37.806899999999999</v>
      </c>
      <c r="CB12">
        <v>20.909289999999999</v>
      </c>
      <c r="CC12">
        <v>15.53219</v>
      </c>
      <c r="CD12">
        <v>18.28753</v>
      </c>
      <c r="CE12">
        <v>13.198689999999999</v>
      </c>
      <c r="CF12">
        <v>40.136780000000002</v>
      </c>
      <c r="CG12">
        <v>38.299349999999997</v>
      </c>
      <c r="CH12">
        <v>39.027119999999996</v>
      </c>
      <c r="CI12">
        <v>37.736289999999997</v>
      </c>
      <c r="CJ12">
        <v>87.816860000000005</v>
      </c>
      <c r="CK12">
        <v>41.227800000000002</v>
      </c>
      <c r="CL12">
        <v>43.175750000000001</v>
      </c>
      <c r="CM12">
        <v>30.88983</v>
      </c>
      <c r="CN12">
        <v>28.347020000000001</v>
      </c>
      <c r="CO12">
        <v>28.513030000000001</v>
      </c>
      <c r="CP12">
        <v>29.200109999999999</v>
      </c>
      <c r="CQ12">
        <v>33.174979999999998</v>
      </c>
      <c r="CR12">
        <v>33.151829999999997</v>
      </c>
      <c r="CS12">
        <v>57.574570000000001</v>
      </c>
      <c r="CT12">
        <v>39.285469999999997</v>
      </c>
      <c r="CU12">
        <v>26.41028</v>
      </c>
      <c r="CV12">
        <v>24.517869999999998</v>
      </c>
      <c r="CW12">
        <v>21.143529999999998</v>
      </c>
      <c r="CX12">
        <v>18.09188</v>
      </c>
      <c r="CY12">
        <v>28.423909999999999</v>
      </c>
      <c r="CZ12">
        <v>37.008989999999997</v>
      </c>
      <c r="DA12">
        <v>29.364830000000001</v>
      </c>
      <c r="DB12">
        <v>47.950850000000003</v>
      </c>
      <c r="DC12">
        <v>32.729590000000002</v>
      </c>
      <c r="DD12">
        <v>30.473050000000001</v>
      </c>
      <c r="DE12">
        <v>28.260280000000002</v>
      </c>
      <c r="DF12">
        <v>23.691199999999998</v>
      </c>
    </row>
    <row r="13" spans="1:110" x14ac:dyDescent="0.2">
      <c r="A13" s="1">
        <v>45365.359722222223</v>
      </c>
      <c r="B13">
        <v>16</v>
      </c>
      <c r="C13">
        <v>13.18421</v>
      </c>
      <c r="D13">
        <v>20.718419999999998</v>
      </c>
      <c r="E13">
        <v>18.322289999999999</v>
      </c>
      <c r="F13">
        <v>20.089189999999999</v>
      </c>
      <c r="G13">
        <v>54.86739</v>
      </c>
      <c r="H13">
        <v>26.392389999999999</v>
      </c>
      <c r="I13">
        <v>28.84404</v>
      </c>
      <c r="J13">
        <v>35.515189999999997</v>
      </c>
      <c r="K13">
        <v>19.722049999999999</v>
      </c>
      <c r="L13">
        <v>14.562659999999999</v>
      </c>
      <c r="M13">
        <v>17.610220000000002</v>
      </c>
      <c r="N13">
        <v>25.404219999999999</v>
      </c>
      <c r="O13">
        <v>16.574110000000001</v>
      </c>
      <c r="P13">
        <v>46.695459999999997</v>
      </c>
      <c r="Q13">
        <v>22.036439999999999</v>
      </c>
      <c r="R13">
        <v>19.17792</v>
      </c>
      <c r="S13">
        <v>20.561489999999999</v>
      </c>
      <c r="T13">
        <v>16.942260000000001</v>
      </c>
      <c r="U13">
        <v>31.621639999999999</v>
      </c>
      <c r="V13">
        <v>39.938949999999998</v>
      </c>
      <c r="W13">
        <v>39.666800000000002</v>
      </c>
      <c r="X13">
        <v>41.412329999999997</v>
      </c>
      <c r="Y13">
        <v>94.845380000000006</v>
      </c>
      <c r="Z13">
        <v>42.260570000000001</v>
      </c>
      <c r="AA13">
        <v>39.436329999999998</v>
      </c>
      <c r="AB13">
        <v>43.452930000000002</v>
      </c>
      <c r="AC13">
        <v>39.616410000000002</v>
      </c>
      <c r="AD13">
        <v>15.287509999999999</v>
      </c>
      <c r="AE13">
        <v>13.660880000000001</v>
      </c>
      <c r="AF13">
        <v>16.969580000000001</v>
      </c>
      <c r="AG13">
        <v>14.48611</v>
      </c>
      <c r="AH13">
        <v>50.915370000000003</v>
      </c>
      <c r="AI13">
        <v>20.5352</v>
      </c>
      <c r="AJ13">
        <v>22.117159999999998</v>
      </c>
      <c r="AK13">
        <v>17.306730000000002</v>
      </c>
      <c r="AL13">
        <v>11.042400000000001</v>
      </c>
      <c r="AM13">
        <v>27.434519999999999</v>
      </c>
      <c r="AN13">
        <v>26.626909999999999</v>
      </c>
      <c r="AO13">
        <v>28.86862</v>
      </c>
      <c r="AP13">
        <v>39.875909999999998</v>
      </c>
      <c r="AQ13">
        <v>61.036450000000002</v>
      </c>
      <c r="AR13">
        <v>42.487430000000003</v>
      </c>
      <c r="AS13">
        <v>30.299720000000001</v>
      </c>
      <c r="AT13">
        <v>31.733640000000001</v>
      </c>
      <c r="AU13">
        <v>42.770499999999998</v>
      </c>
      <c r="AV13">
        <v>28.86159</v>
      </c>
      <c r="AW13">
        <v>26.70673</v>
      </c>
      <c r="AX13">
        <v>36.210459999999998</v>
      </c>
      <c r="AY13">
        <v>31.290150000000001</v>
      </c>
      <c r="AZ13">
        <v>53.586109999999998</v>
      </c>
      <c r="BA13">
        <v>30.193739999999998</v>
      </c>
      <c r="BB13">
        <v>33.576749999999997</v>
      </c>
      <c r="BC13">
        <v>30.786439999999999</v>
      </c>
      <c r="BD13">
        <v>21.431039999999999</v>
      </c>
      <c r="BE13">
        <v>41.489699999999999</v>
      </c>
      <c r="BF13">
        <v>43.157780000000002</v>
      </c>
      <c r="BG13">
        <v>37.379469999999998</v>
      </c>
      <c r="BH13">
        <v>42.408079999999998</v>
      </c>
      <c r="BI13">
        <v>79.955190000000002</v>
      </c>
      <c r="BJ13">
        <v>46.932499999999997</v>
      </c>
      <c r="BK13">
        <v>51.586880000000001</v>
      </c>
      <c r="BL13">
        <v>53.742080000000001</v>
      </c>
      <c r="BM13">
        <v>47.281190000000002</v>
      </c>
      <c r="BN13">
        <v>18.624749999999999</v>
      </c>
      <c r="BO13">
        <v>21.287559999999999</v>
      </c>
      <c r="BP13">
        <v>20.368230000000001</v>
      </c>
      <c r="BQ13">
        <v>20.755230000000001</v>
      </c>
      <c r="BR13">
        <v>38.579680000000003</v>
      </c>
      <c r="BS13">
        <v>20.191960000000002</v>
      </c>
      <c r="BT13">
        <v>24.15934</v>
      </c>
      <c r="BU13">
        <v>19.04195</v>
      </c>
      <c r="BV13">
        <v>12.768929999999999</v>
      </c>
      <c r="BW13">
        <v>22.842210000000001</v>
      </c>
      <c r="BX13">
        <v>22.65926</v>
      </c>
      <c r="BY13">
        <v>18.211729999999999</v>
      </c>
      <c r="BZ13">
        <v>17.99682</v>
      </c>
      <c r="CA13">
        <v>39.49239</v>
      </c>
      <c r="CB13">
        <v>22.728090000000002</v>
      </c>
      <c r="CC13">
        <v>15.01994</v>
      </c>
      <c r="CD13">
        <v>18.894850000000002</v>
      </c>
      <c r="CE13">
        <v>13.092359999999999</v>
      </c>
      <c r="CF13">
        <v>42.527999999999999</v>
      </c>
      <c r="CG13">
        <v>41.407139999999998</v>
      </c>
      <c r="CH13">
        <v>40.20364</v>
      </c>
      <c r="CI13">
        <v>40.311340000000001</v>
      </c>
      <c r="CJ13">
        <v>90.599040000000002</v>
      </c>
      <c r="CK13">
        <v>44.60924</v>
      </c>
      <c r="CL13">
        <v>43.664909999999999</v>
      </c>
      <c r="CM13">
        <v>29.3735</v>
      </c>
      <c r="CN13">
        <v>31.079329999999999</v>
      </c>
      <c r="CO13">
        <v>28.15108</v>
      </c>
      <c r="CP13">
        <v>35.069929999999999</v>
      </c>
      <c r="CQ13">
        <v>36.748800000000003</v>
      </c>
      <c r="CR13">
        <v>36.203220000000002</v>
      </c>
      <c r="CS13">
        <v>65.027109999999993</v>
      </c>
      <c r="CT13">
        <v>43.244430000000001</v>
      </c>
      <c r="CU13">
        <v>27.470839999999999</v>
      </c>
      <c r="CV13">
        <v>29.556650000000001</v>
      </c>
      <c r="CW13">
        <v>22.26146</v>
      </c>
      <c r="CX13">
        <v>18.22026</v>
      </c>
      <c r="CY13">
        <v>29.39931</v>
      </c>
      <c r="CZ13">
        <v>40.334829999999997</v>
      </c>
      <c r="DA13">
        <v>33.081980000000001</v>
      </c>
      <c r="DB13">
        <v>49.109070000000003</v>
      </c>
      <c r="DC13">
        <v>36.215910000000001</v>
      </c>
      <c r="DD13">
        <v>30.778030000000001</v>
      </c>
      <c r="DE13">
        <v>33.111400000000003</v>
      </c>
      <c r="DF13">
        <v>24.875779999999999</v>
      </c>
    </row>
    <row r="14" spans="1:110" x14ac:dyDescent="0.2">
      <c r="A14" s="1">
        <v>45365.526388888888</v>
      </c>
      <c r="B14">
        <v>20</v>
      </c>
      <c r="C14">
        <v>15.47025</v>
      </c>
      <c r="D14">
        <v>22.952909999999999</v>
      </c>
      <c r="E14">
        <v>21.08596</v>
      </c>
      <c r="F14">
        <v>23.228259999999999</v>
      </c>
      <c r="G14">
        <v>61.578620000000001</v>
      </c>
      <c r="H14">
        <v>29.72738</v>
      </c>
      <c r="I14">
        <v>32.613770000000002</v>
      </c>
      <c r="J14">
        <v>40.57931</v>
      </c>
      <c r="K14">
        <v>23.580159999999999</v>
      </c>
      <c r="L14">
        <v>17.200679999999998</v>
      </c>
      <c r="M14">
        <v>17.722829999999998</v>
      </c>
      <c r="N14">
        <v>26.53792</v>
      </c>
      <c r="O14">
        <v>17.617940000000001</v>
      </c>
      <c r="P14">
        <v>46.264479999999999</v>
      </c>
      <c r="Q14">
        <v>25.163360000000001</v>
      </c>
      <c r="R14">
        <v>19.818480000000001</v>
      </c>
      <c r="S14">
        <v>19.836510000000001</v>
      </c>
      <c r="T14">
        <v>20.555759999999999</v>
      </c>
      <c r="U14">
        <v>35.468539999999997</v>
      </c>
      <c r="V14">
        <v>42.272790000000001</v>
      </c>
      <c r="W14">
        <v>41.699420000000003</v>
      </c>
      <c r="X14">
        <v>49.447119999999998</v>
      </c>
      <c r="Y14">
        <v>96.200959999999995</v>
      </c>
      <c r="Z14">
        <v>49.413800000000002</v>
      </c>
      <c r="AA14">
        <v>47.379460000000002</v>
      </c>
      <c r="AB14">
        <v>51.268839999999997</v>
      </c>
      <c r="AC14">
        <v>45.049509999999998</v>
      </c>
      <c r="AD14">
        <v>16.242149999999999</v>
      </c>
      <c r="AE14">
        <v>15.913600000000001</v>
      </c>
      <c r="AF14">
        <v>13.24526</v>
      </c>
      <c r="AG14">
        <v>16.39669</v>
      </c>
      <c r="AH14">
        <v>55.482669999999999</v>
      </c>
      <c r="AI14">
        <v>21.121400000000001</v>
      </c>
      <c r="AJ14">
        <v>22.673729999999999</v>
      </c>
      <c r="AK14">
        <v>18.511050000000001</v>
      </c>
      <c r="AL14">
        <v>11.47823</v>
      </c>
      <c r="AM14">
        <v>34.043170000000003</v>
      </c>
      <c r="AN14">
        <v>32.7819</v>
      </c>
      <c r="AO14">
        <v>36.325180000000003</v>
      </c>
      <c r="AP14">
        <v>44.080109999999998</v>
      </c>
      <c r="AQ14">
        <v>69.463909999999998</v>
      </c>
      <c r="AR14">
        <v>50.420670000000001</v>
      </c>
      <c r="AS14">
        <v>32.358840000000001</v>
      </c>
      <c r="AT14">
        <v>38.51426</v>
      </c>
      <c r="AU14">
        <v>47.036990000000003</v>
      </c>
      <c r="AV14">
        <v>31.65483</v>
      </c>
      <c r="AW14">
        <v>29.609719999999999</v>
      </c>
      <c r="AX14">
        <v>40.446620000000003</v>
      </c>
      <c r="AY14">
        <v>36.612830000000002</v>
      </c>
      <c r="AZ14">
        <v>62.093530000000001</v>
      </c>
      <c r="BA14">
        <v>34.14302</v>
      </c>
      <c r="BB14">
        <v>39.370420000000003</v>
      </c>
      <c r="BC14">
        <v>36.22739</v>
      </c>
      <c r="BD14">
        <v>26.341989999999999</v>
      </c>
      <c r="BE14">
        <v>47.101860000000002</v>
      </c>
      <c r="BF14">
        <v>50.440539999999999</v>
      </c>
      <c r="BG14">
        <v>42.961440000000003</v>
      </c>
      <c r="BH14">
        <v>47.810989999999997</v>
      </c>
      <c r="BI14">
        <v>87.442009999999996</v>
      </c>
      <c r="BJ14">
        <v>55.635860000000001</v>
      </c>
      <c r="BK14">
        <v>56.975250000000003</v>
      </c>
      <c r="BL14">
        <v>60.268790000000003</v>
      </c>
      <c r="BM14">
        <v>52.947710000000001</v>
      </c>
      <c r="BN14">
        <v>21.471540000000001</v>
      </c>
      <c r="BO14">
        <v>22.205190000000002</v>
      </c>
      <c r="BP14">
        <v>23.687100000000001</v>
      </c>
      <c r="BQ14">
        <v>26.23969</v>
      </c>
      <c r="BR14">
        <v>44.561230000000002</v>
      </c>
      <c r="BS14">
        <v>23.678429999999999</v>
      </c>
      <c r="BT14">
        <v>28.332270000000001</v>
      </c>
      <c r="BU14">
        <v>21.247399999999999</v>
      </c>
      <c r="BV14">
        <v>13.563359999999999</v>
      </c>
      <c r="BW14">
        <v>24.81315</v>
      </c>
      <c r="BX14">
        <v>24.015650000000001</v>
      </c>
      <c r="BY14">
        <v>19.222370000000002</v>
      </c>
      <c r="BZ14">
        <v>19.5305</v>
      </c>
      <c r="CA14">
        <v>44.433929999999997</v>
      </c>
      <c r="CB14">
        <v>23.348790000000001</v>
      </c>
      <c r="CC14">
        <v>16.981940000000002</v>
      </c>
      <c r="CD14">
        <v>21.649370000000001</v>
      </c>
      <c r="CE14">
        <v>14.02023</v>
      </c>
      <c r="CF14">
        <v>45.182679999999998</v>
      </c>
      <c r="CG14">
        <v>43.411949999999997</v>
      </c>
      <c r="CH14">
        <v>43.138170000000002</v>
      </c>
      <c r="CI14">
        <v>45.46622</v>
      </c>
      <c r="CJ14">
        <v>91.739360000000005</v>
      </c>
      <c r="CK14">
        <v>49.95234</v>
      </c>
      <c r="CL14">
        <v>45.811700000000002</v>
      </c>
      <c r="CM14">
        <v>36.587150000000001</v>
      </c>
      <c r="CN14">
        <v>31.25328</v>
      </c>
      <c r="CO14">
        <v>35.69903</v>
      </c>
      <c r="CP14">
        <v>40.278210000000001</v>
      </c>
      <c r="CQ14">
        <v>42.492899999999999</v>
      </c>
      <c r="CR14">
        <v>40.329569999999997</v>
      </c>
      <c r="CS14">
        <v>75.972660000000005</v>
      </c>
      <c r="CT14">
        <v>51.245559999999998</v>
      </c>
      <c r="CU14">
        <v>33.670589999999997</v>
      </c>
      <c r="CV14">
        <v>36.075040000000001</v>
      </c>
      <c r="CW14">
        <v>24.015170000000001</v>
      </c>
      <c r="CX14">
        <v>22.725770000000001</v>
      </c>
      <c r="CY14">
        <v>34.759340000000002</v>
      </c>
      <c r="CZ14">
        <v>46.195779999999999</v>
      </c>
      <c r="DA14">
        <v>36.715260000000001</v>
      </c>
      <c r="DB14">
        <v>63.43374</v>
      </c>
      <c r="DC14">
        <v>48.07835</v>
      </c>
      <c r="DD14">
        <v>38.709159999999997</v>
      </c>
      <c r="DE14">
        <v>38.56288</v>
      </c>
      <c r="DF14">
        <v>31.00169</v>
      </c>
    </row>
    <row r="15" spans="1:110" x14ac:dyDescent="0.2">
      <c r="A15" s="1">
        <v>45365.693055555559</v>
      </c>
      <c r="B15">
        <v>24</v>
      </c>
      <c r="C15">
        <v>16.397369999999999</v>
      </c>
      <c r="D15">
        <v>25.82386</v>
      </c>
      <c r="E15">
        <v>25.148330000000001</v>
      </c>
      <c r="F15">
        <v>25.56053</v>
      </c>
      <c r="G15">
        <v>67.732600000000005</v>
      </c>
      <c r="H15">
        <v>35.175649999999997</v>
      </c>
      <c r="I15">
        <v>34.81738</v>
      </c>
      <c r="J15">
        <v>44.017220000000002</v>
      </c>
      <c r="K15">
        <v>27.031590000000001</v>
      </c>
      <c r="L15">
        <v>19.12772</v>
      </c>
      <c r="M15">
        <v>23.268070000000002</v>
      </c>
      <c r="N15">
        <v>31.41799</v>
      </c>
      <c r="O15">
        <v>22.09319</v>
      </c>
      <c r="P15">
        <v>54.190739999999998</v>
      </c>
      <c r="Q15">
        <v>28.824020000000001</v>
      </c>
      <c r="R15">
        <v>24.487539999999999</v>
      </c>
      <c r="S15">
        <v>25.662420000000001</v>
      </c>
      <c r="T15">
        <v>24.612580000000001</v>
      </c>
      <c r="U15">
        <v>41.655380000000001</v>
      </c>
      <c r="V15">
        <v>49.387630000000001</v>
      </c>
      <c r="W15">
        <v>49.495109999999997</v>
      </c>
      <c r="X15">
        <v>56.414169999999999</v>
      </c>
      <c r="Y15">
        <v>96.587289999999996</v>
      </c>
      <c r="Z15">
        <v>59.161990000000003</v>
      </c>
      <c r="AA15">
        <v>55.192990000000002</v>
      </c>
      <c r="AB15">
        <v>58.469459999999998</v>
      </c>
      <c r="AC15">
        <v>53.079929999999997</v>
      </c>
      <c r="AD15">
        <v>19.23432</v>
      </c>
      <c r="AE15">
        <v>19.09562</v>
      </c>
      <c r="AF15">
        <v>19.082170000000001</v>
      </c>
      <c r="AG15">
        <v>19.24053</v>
      </c>
      <c r="AH15">
        <v>62.926070000000003</v>
      </c>
      <c r="AI15">
        <v>27.34395</v>
      </c>
      <c r="AJ15">
        <v>24.175930000000001</v>
      </c>
      <c r="AK15">
        <v>19.60999</v>
      </c>
      <c r="AL15">
        <v>13.12698</v>
      </c>
      <c r="AM15">
        <v>40.704210000000003</v>
      </c>
      <c r="AN15">
        <v>37.794400000000003</v>
      </c>
      <c r="AO15">
        <v>38.758200000000002</v>
      </c>
      <c r="AP15">
        <v>53.04777</v>
      </c>
      <c r="AQ15">
        <v>79.18262</v>
      </c>
      <c r="AR15">
        <v>59.751350000000002</v>
      </c>
      <c r="AS15">
        <v>39.724710000000002</v>
      </c>
      <c r="AT15">
        <v>43.143650000000001</v>
      </c>
      <c r="AU15">
        <v>54.748550000000002</v>
      </c>
      <c r="AV15">
        <v>39.269350000000003</v>
      </c>
      <c r="AW15">
        <v>37.55742</v>
      </c>
      <c r="AX15">
        <v>45.776670000000003</v>
      </c>
      <c r="AY15">
        <v>41.113889999999998</v>
      </c>
      <c r="AZ15">
        <v>72.315479999999994</v>
      </c>
      <c r="BA15">
        <v>41.657080000000001</v>
      </c>
      <c r="BB15">
        <v>46.984529999999999</v>
      </c>
      <c r="BC15">
        <v>41.933320000000002</v>
      </c>
      <c r="BD15">
        <v>31.566659999999999</v>
      </c>
      <c r="BE15">
        <v>54.49812</v>
      </c>
      <c r="BF15">
        <v>59.056010000000001</v>
      </c>
      <c r="BG15">
        <v>52.531419999999997</v>
      </c>
      <c r="BH15">
        <v>58.14302</v>
      </c>
      <c r="BI15">
        <v>94.103610000000003</v>
      </c>
      <c r="BJ15">
        <v>65.809389999999993</v>
      </c>
      <c r="BK15">
        <v>67.314589999999995</v>
      </c>
      <c r="BL15">
        <v>72.498019999999997</v>
      </c>
      <c r="BM15">
        <v>65.574190000000002</v>
      </c>
      <c r="BN15">
        <v>26.20036</v>
      </c>
      <c r="BO15">
        <v>27.02243</v>
      </c>
      <c r="BP15">
        <v>25.411930000000002</v>
      </c>
      <c r="BQ15">
        <v>29.160430000000002</v>
      </c>
      <c r="BR15">
        <v>52.906599999999997</v>
      </c>
      <c r="BS15">
        <v>28.581389999999999</v>
      </c>
      <c r="BT15">
        <v>33.108539999999998</v>
      </c>
      <c r="BU15">
        <v>25.531310000000001</v>
      </c>
      <c r="BV15">
        <v>16.373259999999998</v>
      </c>
      <c r="BW15">
        <v>26.117100000000001</v>
      </c>
      <c r="BX15">
        <v>26.60716</v>
      </c>
      <c r="BY15">
        <v>22.112439999999999</v>
      </c>
      <c r="BZ15">
        <v>21.760200000000001</v>
      </c>
      <c r="CA15">
        <v>45.704219999999999</v>
      </c>
      <c r="CB15">
        <v>28.2988</v>
      </c>
      <c r="CC15">
        <v>19.315860000000001</v>
      </c>
      <c r="CD15">
        <v>23.478809999999999</v>
      </c>
      <c r="CE15">
        <v>17.271699999999999</v>
      </c>
      <c r="CF15">
        <v>51.895139999999998</v>
      </c>
      <c r="CG15">
        <v>53.238840000000003</v>
      </c>
      <c r="CH15">
        <v>52.473500000000001</v>
      </c>
      <c r="CI15">
        <v>54.394869999999997</v>
      </c>
      <c r="CJ15">
        <v>93.883229999999998</v>
      </c>
      <c r="CK15">
        <v>56.78472</v>
      </c>
      <c r="CL15">
        <v>51.649850000000001</v>
      </c>
      <c r="CM15">
        <v>43.509619999999998</v>
      </c>
      <c r="CN15">
        <v>37.436140000000002</v>
      </c>
      <c r="CO15">
        <v>41.344239999999999</v>
      </c>
      <c r="CP15">
        <v>47.913020000000003</v>
      </c>
      <c r="CQ15">
        <v>50.475920000000002</v>
      </c>
      <c r="CR15">
        <v>50.756120000000003</v>
      </c>
      <c r="CS15">
        <v>82.6768</v>
      </c>
      <c r="CT15">
        <v>54.255549999999999</v>
      </c>
      <c r="CU15">
        <v>40.099980000000002</v>
      </c>
      <c r="CV15">
        <v>40.309089999999998</v>
      </c>
      <c r="CW15">
        <v>29.802219999999998</v>
      </c>
      <c r="CX15">
        <v>27.308299999999999</v>
      </c>
      <c r="CY15">
        <v>40.113779999999998</v>
      </c>
      <c r="CZ15">
        <v>55.108989999999999</v>
      </c>
      <c r="DA15">
        <v>44.076700000000002</v>
      </c>
      <c r="DB15">
        <v>69.361549999999994</v>
      </c>
      <c r="DC15">
        <v>53.260550000000002</v>
      </c>
      <c r="DD15">
        <v>43.063809999999997</v>
      </c>
      <c r="DE15">
        <v>42.449530000000003</v>
      </c>
      <c r="DF15">
        <v>36.121960000000001</v>
      </c>
    </row>
    <row r="16" spans="1:110" x14ac:dyDescent="0.2">
      <c r="A16" s="1">
        <v>45365.859722222223</v>
      </c>
      <c r="B16">
        <v>28</v>
      </c>
      <c r="C16">
        <v>19.627400000000002</v>
      </c>
      <c r="D16">
        <v>27.44933</v>
      </c>
      <c r="E16">
        <v>28.99755</v>
      </c>
      <c r="F16">
        <v>28.80115</v>
      </c>
      <c r="G16">
        <v>70.922129999999996</v>
      </c>
      <c r="H16">
        <v>41.23442</v>
      </c>
      <c r="I16">
        <v>41.416969999999999</v>
      </c>
      <c r="J16">
        <v>51.995800000000003</v>
      </c>
      <c r="K16">
        <v>30.951160000000002</v>
      </c>
      <c r="L16">
        <v>21.316579999999998</v>
      </c>
      <c r="M16">
        <v>24.08483</v>
      </c>
      <c r="N16">
        <v>32.953319999999998</v>
      </c>
      <c r="O16">
        <v>25.838619999999999</v>
      </c>
      <c r="P16">
        <v>56.358229999999999</v>
      </c>
      <c r="Q16">
        <v>32.534959999999998</v>
      </c>
      <c r="R16">
        <v>28.248799999999999</v>
      </c>
      <c r="S16">
        <v>27.948460000000001</v>
      </c>
      <c r="T16">
        <v>26.626819999999999</v>
      </c>
      <c r="U16">
        <v>51.003189999999996</v>
      </c>
      <c r="V16">
        <v>56.113349999999997</v>
      </c>
      <c r="W16">
        <v>61.220700000000001</v>
      </c>
      <c r="X16">
        <v>64.785970000000006</v>
      </c>
      <c r="Y16">
        <v>96.845979999999997</v>
      </c>
      <c r="Z16">
        <v>66.297939999999997</v>
      </c>
      <c r="AA16">
        <v>60.209650000000003</v>
      </c>
      <c r="AB16">
        <v>64.738709999999998</v>
      </c>
      <c r="AC16">
        <v>61.849319999999999</v>
      </c>
      <c r="AD16">
        <v>21.75365</v>
      </c>
      <c r="AE16">
        <v>20.820309999999999</v>
      </c>
      <c r="AF16">
        <v>25.854189999999999</v>
      </c>
      <c r="AG16">
        <v>22.276959999999999</v>
      </c>
      <c r="AH16">
        <v>68.265199999999993</v>
      </c>
      <c r="AI16">
        <v>30.706130000000002</v>
      </c>
      <c r="AJ16">
        <v>30.43159</v>
      </c>
      <c r="AK16">
        <v>22.600999999999999</v>
      </c>
      <c r="AL16">
        <v>15.534039999999999</v>
      </c>
      <c r="AM16">
        <v>47.319989999999997</v>
      </c>
      <c r="AN16">
        <v>47.156500000000001</v>
      </c>
      <c r="AO16">
        <v>51.339390000000002</v>
      </c>
      <c r="AP16">
        <v>61.081049999999998</v>
      </c>
      <c r="AQ16">
        <v>85.318160000000006</v>
      </c>
      <c r="AR16">
        <v>68.706289999999996</v>
      </c>
      <c r="AS16">
        <v>46.14217</v>
      </c>
      <c r="AT16">
        <v>49.983750000000001</v>
      </c>
      <c r="AU16">
        <v>66.285579999999996</v>
      </c>
      <c r="AV16">
        <v>44.268599999999999</v>
      </c>
      <c r="AW16">
        <v>43.527239999999999</v>
      </c>
      <c r="AX16">
        <v>59.746090000000002</v>
      </c>
      <c r="AY16">
        <v>50.195650000000001</v>
      </c>
      <c r="AZ16">
        <v>79.535480000000007</v>
      </c>
      <c r="BA16">
        <v>46.211350000000003</v>
      </c>
      <c r="BB16">
        <v>52.239400000000003</v>
      </c>
      <c r="BC16">
        <v>47.563580000000002</v>
      </c>
      <c r="BD16">
        <v>37.844659999999998</v>
      </c>
      <c r="BE16">
        <v>66.440389999999994</v>
      </c>
      <c r="BF16">
        <v>68.309799999999996</v>
      </c>
      <c r="BG16">
        <v>63.301870000000001</v>
      </c>
      <c r="BH16">
        <v>70.546120000000002</v>
      </c>
      <c r="BI16">
        <v>96.554079999999999</v>
      </c>
      <c r="BJ16">
        <v>78.036829999999995</v>
      </c>
      <c r="BK16">
        <v>81.802679999999995</v>
      </c>
      <c r="BL16">
        <v>84.570099999999996</v>
      </c>
      <c r="BM16">
        <v>75.371510000000001</v>
      </c>
      <c r="BN16">
        <v>31.33079</v>
      </c>
      <c r="BO16">
        <v>31.69</v>
      </c>
      <c r="BP16">
        <v>29.47935</v>
      </c>
      <c r="BQ16">
        <v>36.62088</v>
      </c>
      <c r="BR16">
        <v>59.480029999999999</v>
      </c>
      <c r="BS16">
        <v>32.613639999999997</v>
      </c>
      <c r="BT16">
        <v>38.885489999999997</v>
      </c>
      <c r="BU16">
        <v>29.85502</v>
      </c>
      <c r="BV16">
        <v>19.67801</v>
      </c>
      <c r="BW16">
        <v>32.83428</v>
      </c>
      <c r="BX16">
        <v>31.362680000000001</v>
      </c>
      <c r="BY16">
        <v>24.236499999999999</v>
      </c>
      <c r="BZ16">
        <v>23.461269999999999</v>
      </c>
      <c r="CA16">
        <v>51.947740000000003</v>
      </c>
      <c r="CB16">
        <v>32.17295</v>
      </c>
      <c r="CC16">
        <v>20.118760000000002</v>
      </c>
      <c r="CD16">
        <v>25.42867</v>
      </c>
      <c r="CE16">
        <v>19.55781</v>
      </c>
      <c r="CF16">
        <v>59.04345</v>
      </c>
      <c r="CG16">
        <v>58.350560000000002</v>
      </c>
      <c r="CH16">
        <v>53.29504</v>
      </c>
      <c r="CI16">
        <v>60.78248</v>
      </c>
      <c r="CJ16">
        <v>95.374309999999994</v>
      </c>
      <c r="CK16">
        <v>68.872579999999999</v>
      </c>
      <c r="CL16">
        <v>58.626130000000003</v>
      </c>
      <c r="CM16">
        <v>49.70628</v>
      </c>
      <c r="CN16">
        <v>45.928820000000002</v>
      </c>
      <c r="CO16">
        <v>48.68656</v>
      </c>
      <c r="CP16">
        <v>56.690469999999998</v>
      </c>
      <c r="CQ16">
        <v>55.411589999999997</v>
      </c>
      <c r="CR16">
        <v>55.996839999999999</v>
      </c>
      <c r="CS16">
        <v>89.914699999999996</v>
      </c>
      <c r="CT16">
        <v>65.191479999999999</v>
      </c>
      <c r="CU16">
        <v>47.09272</v>
      </c>
      <c r="CV16">
        <v>50.4557</v>
      </c>
      <c r="CW16">
        <v>37.209760000000003</v>
      </c>
      <c r="CX16">
        <v>30.22542</v>
      </c>
      <c r="CY16">
        <v>46.41178</v>
      </c>
      <c r="CZ16">
        <v>62.423720000000003</v>
      </c>
      <c r="DA16">
        <v>53.798349999999999</v>
      </c>
      <c r="DB16">
        <v>76.573759999999993</v>
      </c>
      <c r="DC16">
        <v>62.980899999999998</v>
      </c>
      <c r="DD16">
        <v>50.153100000000002</v>
      </c>
      <c r="DE16">
        <v>52.16469</v>
      </c>
      <c r="DF16">
        <v>42.124470000000002</v>
      </c>
    </row>
    <row r="17" spans="1:110" x14ac:dyDescent="0.2">
      <c r="A17" s="1">
        <v>45366.026388888888</v>
      </c>
      <c r="B17">
        <v>32</v>
      </c>
      <c r="C17">
        <v>22.617059999999999</v>
      </c>
      <c r="D17">
        <v>30.780090000000001</v>
      </c>
      <c r="E17">
        <v>35.398409999999998</v>
      </c>
      <c r="F17">
        <v>33.435169999999999</v>
      </c>
      <c r="G17">
        <v>79.347759999999994</v>
      </c>
      <c r="H17">
        <v>47.933570000000003</v>
      </c>
      <c r="I17">
        <v>51.082279999999997</v>
      </c>
      <c r="J17">
        <v>59.191029999999998</v>
      </c>
      <c r="K17">
        <v>37.456290000000003</v>
      </c>
      <c r="L17">
        <v>25.6099</v>
      </c>
      <c r="M17">
        <v>26.570630000000001</v>
      </c>
      <c r="N17">
        <v>41.191749999999999</v>
      </c>
      <c r="O17">
        <v>30.447379999999999</v>
      </c>
      <c r="P17">
        <v>65.552260000000004</v>
      </c>
      <c r="Q17">
        <v>40.624789999999997</v>
      </c>
      <c r="R17">
        <v>33.211320000000001</v>
      </c>
      <c r="S17">
        <v>35.677990000000001</v>
      </c>
      <c r="T17">
        <v>34.228859999999997</v>
      </c>
      <c r="U17">
        <v>60.714599999999997</v>
      </c>
      <c r="V17">
        <v>70.390559999999994</v>
      </c>
      <c r="W17">
        <v>67.186269999999993</v>
      </c>
      <c r="X17">
        <v>76.276349999999994</v>
      </c>
      <c r="Y17">
        <v>97.384379999999993</v>
      </c>
      <c r="Z17">
        <v>77.065520000000006</v>
      </c>
      <c r="AA17">
        <v>71.75488</v>
      </c>
      <c r="AB17">
        <v>77.840429999999998</v>
      </c>
      <c r="AC17">
        <v>71.569050000000004</v>
      </c>
      <c r="AD17">
        <v>27.927569999999999</v>
      </c>
      <c r="AE17">
        <v>26.873090000000001</v>
      </c>
      <c r="AF17">
        <v>30.946100000000001</v>
      </c>
      <c r="AG17">
        <v>25.802150000000001</v>
      </c>
      <c r="AH17">
        <v>74.716859999999997</v>
      </c>
      <c r="AI17">
        <v>37.114490000000004</v>
      </c>
      <c r="AJ17">
        <v>34.685589999999998</v>
      </c>
      <c r="AK17">
        <v>25.555</v>
      </c>
      <c r="AL17">
        <v>18.399049999999999</v>
      </c>
      <c r="AM17">
        <v>60.012560000000001</v>
      </c>
      <c r="AN17">
        <v>59.949179999999998</v>
      </c>
      <c r="AO17">
        <v>59.05171</v>
      </c>
      <c r="AP17">
        <v>74.695490000000007</v>
      </c>
      <c r="AQ17">
        <v>93.593469999999996</v>
      </c>
      <c r="AR17">
        <v>78.771510000000006</v>
      </c>
      <c r="AS17">
        <v>56.105420000000002</v>
      </c>
      <c r="AT17">
        <v>59.325150000000001</v>
      </c>
      <c r="AU17">
        <v>77.366619999999998</v>
      </c>
      <c r="AV17">
        <v>53.333480000000002</v>
      </c>
      <c r="AW17">
        <v>54.310600000000001</v>
      </c>
      <c r="AX17">
        <v>71.308459999999997</v>
      </c>
      <c r="AY17">
        <v>59.295929999999998</v>
      </c>
      <c r="AZ17">
        <v>87.362319999999997</v>
      </c>
      <c r="BA17">
        <v>57.298259999999999</v>
      </c>
      <c r="BB17">
        <v>64.236710000000002</v>
      </c>
      <c r="BC17">
        <v>60.875149999999998</v>
      </c>
      <c r="BD17">
        <v>46.02075</v>
      </c>
      <c r="BE17">
        <v>78.722549999999998</v>
      </c>
      <c r="BF17">
        <v>81.049700000000001</v>
      </c>
      <c r="BG17">
        <v>77.157039999999995</v>
      </c>
      <c r="BH17">
        <v>83.96566</v>
      </c>
      <c r="BI17">
        <v>98.873390000000001</v>
      </c>
      <c r="BJ17">
        <v>85.216750000000005</v>
      </c>
      <c r="BK17">
        <v>89.503249999999994</v>
      </c>
      <c r="BL17">
        <v>92.550939999999997</v>
      </c>
      <c r="BM17">
        <v>87.576890000000006</v>
      </c>
      <c r="BN17">
        <v>39.660249999999998</v>
      </c>
      <c r="BO17">
        <v>40.2455</v>
      </c>
      <c r="BP17">
        <v>39.175800000000002</v>
      </c>
      <c r="BQ17">
        <v>43.410870000000003</v>
      </c>
      <c r="BR17">
        <v>70.769019999999998</v>
      </c>
      <c r="BS17">
        <v>42.192410000000002</v>
      </c>
      <c r="BT17">
        <v>49.21022</v>
      </c>
      <c r="BU17">
        <v>36.821190000000001</v>
      </c>
      <c r="BV17">
        <v>22.943750000000001</v>
      </c>
      <c r="BW17">
        <v>36.406660000000002</v>
      </c>
      <c r="BX17">
        <v>36.53546</v>
      </c>
      <c r="BY17">
        <v>27.02045</v>
      </c>
      <c r="BZ17">
        <v>29.574339999999999</v>
      </c>
      <c r="CA17">
        <v>63.350279999999998</v>
      </c>
      <c r="CB17">
        <v>39.720959999999998</v>
      </c>
      <c r="CC17">
        <v>25.25808</v>
      </c>
      <c r="CD17">
        <v>28.378830000000001</v>
      </c>
      <c r="CE17">
        <v>21.212569999999999</v>
      </c>
      <c r="CF17">
        <v>75.345749999999995</v>
      </c>
      <c r="CG17">
        <v>70.726680000000002</v>
      </c>
      <c r="CH17">
        <v>67.698040000000006</v>
      </c>
      <c r="CI17">
        <v>70.93074</v>
      </c>
      <c r="CJ17">
        <v>96.701260000000005</v>
      </c>
      <c r="CK17">
        <v>75.588319999999996</v>
      </c>
      <c r="CL17">
        <v>73.674800000000005</v>
      </c>
      <c r="CM17">
        <v>63.347909999999999</v>
      </c>
      <c r="CN17">
        <v>46.432130000000001</v>
      </c>
      <c r="CO17">
        <v>59.289769999999997</v>
      </c>
      <c r="CP17">
        <v>68.586299999999994</v>
      </c>
      <c r="CQ17">
        <v>67.547939999999997</v>
      </c>
      <c r="CR17">
        <v>68.3352</v>
      </c>
      <c r="CS17">
        <v>95.330529999999996</v>
      </c>
      <c r="CT17">
        <v>78.401499999999999</v>
      </c>
      <c r="CU17">
        <v>56.130009999999999</v>
      </c>
      <c r="CV17">
        <v>62.127740000000003</v>
      </c>
      <c r="CW17">
        <v>45.473730000000003</v>
      </c>
      <c r="CX17">
        <v>38.781619999999997</v>
      </c>
      <c r="CY17">
        <v>57.614319999999999</v>
      </c>
      <c r="CZ17">
        <v>74.124099999999999</v>
      </c>
      <c r="DA17">
        <v>66.969790000000003</v>
      </c>
      <c r="DB17">
        <v>89.053619999999995</v>
      </c>
      <c r="DC17">
        <v>72.188109999999995</v>
      </c>
      <c r="DD17">
        <v>60.297609999999999</v>
      </c>
      <c r="DE17">
        <v>62.475070000000002</v>
      </c>
      <c r="DF17">
        <v>51.567070000000001</v>
      </c>
    </row>
    <row r="18" spans="1:110" x14ac:dyDescent="0.2">
      <c r="A18" s="1">
        <v>45366.193055555559</v>
      </c>
      <c r="B18">
        <v>36</v>
      </c>
      <c r="C18">
        <v>26.712879999999998</v>
      </c>
      <c r="D18">
        <v>34.064959999999999</v>
      </c>
      <c r="E18">
        <v>38.748420000000003</v>
      </c>
      <c r="F18">
        <v>37.972369999999998</v>
      </c>
      <c r="G18">
        <v>81.64725</v>
      </c>
      <c r="H18">
        <v>52.899430000000002</v>
      </c>
      <c r="I18">
        <v>57.348590000000002</v>
      </c>
      <c r="J18">
        <v>66.310569999999998</v>
      </c>
      <c r="K18">
        <v>44.370629999999998</v>
      </c>
      <c r="L18">
        <v>28.83174</v>
      </c>
      <c r="M18">
        <v>31.584890000000001</v>
      </c>
      <c r="N18">
        <v>46.371139999999997</v>
      </c>
      <c r="O18">
        <v>33.08887</v>
      </c>
      <c r="P18">
        <v>74.924940000000007</v>
      </c>
      <c r="Q18">
        <v>45.652859999999997</v>
      </c>
      <c r="R18">
        <v>38.805860000000003</v>
      </c>
      <c r="S18">
        <v>39.374659999999999</v>
      </c>
      <c r="T18">
        <v>36.894869999999997</v>
      </c>
      <c r="U18">
        <v>66.935230000000004</v>
      </c>
      <c r="V18">
        <v>75.064059999999998</v>
      </c>
      <c r="W18">
        <v>75.79025</v>
      </c>
      <c r="X18">
        <v>84.475999999999999</v>
      </c>
      <c r="Y18">
        <v>98.083129999999997</v>
      </c>
      <c r="Z18">
        <v>83.169520000000006</v>
      </c>
      <c r="AA18">
        <v>81.123040000000003</v>
      </c>
      <c r="AB18">
        <v>86.543850000000006</v>
      </c>
      <c r="AC18">
        <v>79.775180000000006</v>
      </c>
      <c r="AD18">
        <v>30.896999999999998</v>
      </c>
      <c r="AE18">
        <v>29.49061</v>
      </c>
      <c r="AF18">
        <v>33.830440000000003</v>
      </c>
      <c r="AG18">
        <v>29.27797</v>
      </c>
      <c r="AH18">
        <v>79.623859999999993</v>
      </c>
      <c r="AI18">
        <v>43.744050000000001</v>
      </c>
      <c r="AJ18">
        <v>41.05885</v>
      </c>
      <c r="AK18">
        <v>30.50562</v>
      </c>
      <c r="AL18">
        <v>19.96339</v>
      </c>
      <c r="AM18">
        <v>68.088390000000004</v>
      </c>
      <c r="AN18">
        <v>69.088170000000005</v>
      </c>
      <c r="AO18">
        <v>70.060370000000006</v>
      </c>
      <c r="AP18">
        <v>83.880769999999998</v>
      </c>
      <c r="AQ18">
        <v>96.519880000000001</v>
      </c>
      <c r="AR18">
        <v>87.388819999999996</v>
      </c>
      <c r="AS18">
        <v>64.672269999999997</v>
      </c>
      <c r="AT18">
        <v>69.374870000000001</v>
      </c>
      <c r="AU18">
        <v>85.198869999999999</v>
      </c>
      <c r="AV18">
        <v>60.209580000000003</v>
      </c>
      <c r="AW18">
        <v>63.323860000000003</v>
      </c>
      <c r="AX18">
        <v>78.564319999999995</v>
      </c>
      <c r="AY18">
        <v>67.691699999999997</v>
      </c>
      <c r="AZ18">
        <v>91.558679999999995</v>
      </c>
      <c r="BA18">
        <v>71.430289999999999</v>
      </c>
      <c r="BB18">
        <v>74.514049999999997</v>
      </c>
      <c r="BC18">
        <v>70.802480000000003</v>
      </c>
      <c r="BD18">
        <v>53.910890000000002</v>
      </c>
      <c r="BE18">
        <v>90.569540000000003</v>
      </c>
      <c r="BF18">
        <v>90.02458</v>
      </c>
      <c r="BG18">
        <v>87.242810000000006</v>
      </c>
      <c r="BH18">
        <v>91.58278</v>
      </c>
      <c r="BI18">
        <v>99.631569999999996</v>
      </c>
      <c r="BJ18">
        <v>93.221900000000005</v>
      </c>
      <c r="BK18">
        <v>95.184309999999996</v>
      </c>
      <c r="BL18">
        <v>97.000309999999999</v>
      </c>
      <c r="BM18">
        <v>91.973950000000002</v>
      </c>
      <c r="BN18">
        <v>48.521909999999998</v>
      </c>
      <c r="BO18">
        <v>50.141289999999998</v>
      </c>
      <c r="BP18">
        <v>43.948790000000002</v>
      </c>
      <c r="BQ18">
        <v>54.978549999999998</v>
      </c>
      <c r="BR18">
        <v>81.031880000000001</v>
      </c>
      <c r="BS18">
        <v>51.25996</v>
      </c>
      <c r="BT18">
        <v>56.791690000000003</v>
      </c>
      <c r="BU18">
        <v>45.480499999999999</v>
      </c>
      <c r="BV18">
        <v>28.999189999999999</v>
      </c>
      <c r="BW18">
        <v>41.485599999999998</v>
      </c>
      <c r="BX18">
        <v>43.725270000000002</v>
      </c>
      <c r="BY18">
        <v>33.531669999999998</v>
      </c>
      <c r="BZ18">
        <v>33.025089999999999</v>
      </c>
      <c r="CA18">
        <v>70.233279999999993</v>
      </c>
      <c r="CB18">
        <v>44.94285</v>
      </c>
      <c r="CC18">
        <v>30.326160000000002</v>
      </c>
      <c r="CD18">
        <v>33.164670000000001</v>
      </c>
      <c r="CE18">
        <v>26.090070000000001</v>
      </c>
      <c r="CF18">
        <v>77.884960000000007</v>
      </c>
      <c r="CG18">
        <v>74.468689999999995</v>
      </c>
      <c r="CH18">
        <v>75.093969999999999</v>
      </c>
      <c r="CI18">
        <v>78.25864</v>
      </c>
      <c r="CJ18">
        <v>97.387730000000005</v>
      </c>
      <c r="CK18">
        <v>83.345569999999995</v>
      </c>
      <c r="CL18">
        <v>75.796679999999995</v>
      </c>
      <c r="CM18">
        <v>73.942509999999999</v>
      </c>
      <c r="CN18">
        <v>51.087730000000001</v>
      </c>
      <c r="CO18">
        <v>66.991979999999998</v>
      </c>
      <c r="CP18">
        <v>77.105549999999994</v>
      </c>
      <c r="CQ18">
        <v>76.096549999999993</v>
      </c>
      <c r="CR18">
        <v>77.40446</v>
      </c>
      <c r="CS18">
        <v>97.558790000000002</v>
      </c>
      <c r="CT18">
        <v>86.800560000000004</v>
      </c>
      <c r="CU18">
        <v>66.887079999999997</v>
      </c>
      <c r="CV18">
        <v>69.157830000000004</v>
      </c>
      <c r="CW18">
        <v>56.288580000000003</v>
      </c>
      <c r="CX18">
        <v>44.383470000000003</v>
      </c>
      <c r="CY18">
        <v>67.170630000000003</v>
      </c>
      <c r="CZ18">
        <v>81.801720000000003</v>
      </c>
      <c r="DA18">
        <v>76.675169999999994</v>
      </c>
      <c r="DB18">
        <v>95.699299999999994</v>
      </c>
      <c r="DC18">
        <v>85.92998</v>
      </c>
      <c r="DD18">
        <v>70.137529999999998</v>
      </c>
      <c r="DE18">
        <v>71.949839999999995</v>
      </c>
      <c r="DF18">
        <v>62.816670000000002</v>
      </c>
    </row>
    <row r="19" spans="1:110" x14ac:dyDescent="0.2">
      <c r="A19" s="1">
        <v>45366.359722222223</v>
      </c>
      <c r="B19">
        <v>40</v>
      </c>
      <c r="C19">
        <v>29.638470000000002</v>
      </c>
      <c r="D19">
        <v>37.437440000000002</v>
      </c>
      <c r="E19">
        <v>42.312269999999998</v>
      </c>
      <c r="F19">
        <v>40.760069999999999</v>
      </c>
      <c r="G19">
        <v>87.008579999999995</v>
      </c>
      <c r="H19">
        <v>59.686129999999999</v>
      </c>
      <c r="I19">
        <v>63.014299999999999</v>
      </c>
      <c r="J19">
        <v>74.004519999999999</v>
      </c>
      <c r="K19">
        <v>49.888820000000003</v>
      </c>
      <c r="L19">
        <v>31.794409999999999</v>
      </c>
      <c r="M19">
        <v>32.32347</v>
      </c>
      <c r="N19">
        <v>46.548630000000003</v>
      </c>
      <c r="O19">
        <v>35.075879999999998</v>
      </c>
      <c r="P19">
        <v>76.754739999999998</v>
      </c>
      <c r="Q19">
        <v>51.409930000000003</v>
      </c>
      <c r="R19">
        <v>41.893300000000004</v>
      </c>
      <c r="S19">
        <v>43.211039999999997</v>
      </c>
      <c r="T19">
        <v>38.988950000000003</v>
      </c>
      <c r="U19">
        <v>76.322040000000001</v>
      </c>
      <c r="V19">
        <v>82.199309999999997</v>
      </c>
      <c r="W19">
        <v>82.633780000000002</v>
      </c>
      <c r="X19">
        <v>89.321179999999998</v>
      </c>
      <c r="Y19">
        <v>98.239040000000003</v>
      </c>
      <c r="Z19">
        <v>87.936779999999999</v>
      </c>
      <c r="AA19">
        <v>86.741969999999995</v>
      </c>
      <c r="AB19">
        <v>88.398219999999995</v>
      </c>
      <c r="AC19">
        <v>86.801590000000004</v>
      </c>
      <c r="AD19">
        <v>32.379330000000003</v>
      </c>
      <c r="AE19">
        <v>32.231200000000001</v>
      </c>
      <c r="AF19">
        <v>36.658859999999997</v>
      </c>
      <c r="AG19">
        <v>33.97992</v>
      </c>
      <c r="AH19">
        <v>83.442279999999997</v>
      </c>
      <c r="AI19">
        <v>48.239190000000001</v>
      </c>
      <c r="AJ19">
        <v>45.901919999999997</v>
      </c>
      <c r="AK19">
        <v>34.149639999999998</v>
      </c>
      <c r="AL19">
        <v>23.21433</v>
      </c>
      <c r="AM19">
        <v>75.952789999999993</v>
      </c>
      <c r="AN19">
        <v>75.670270000000002</v>
      </c>
      <c r="AO19">
        <v>77.628659999999996</v>
      </c>
      <c r="AP19">
        <v>89.809049999999999</v>
      </c>
      <c r="AQ19">
        <v>98.289100000000005</v>
      </c>
      <c r="AR19">
        <v>92.868030000000005</v>
      </c>
      <c r="AS19">
        <v>73.43571</v>
      </c>
      <c r="AT19">
        <v>75.538480000000007</v>
      </c>
      <c r="AU19">
        <v>89.600629999999995</v>
      </c>
      <c r="AV19">
        <v>66.51688</v>
      </c>
      <c r="AW19">
        <v>71.778369999999995</v>
      </c>
      <c r="AX19">
        <v>86.56523</v>
      </c>
      <c r="AY19">
        <v>77.887690000000006</v>
      </c>
      <c r="AZ19">
        <v>94.742339999999999</v>
      </c>
      <c r="BA19">
        <v>77.941019999999995</v>
      </c>
      <c r="BB19">
        <v>80.89188</v>
      </c>
      <c r="BC19">
        <v>75.44914</v>
      </c>
      <c r="BD19">
        <v>60.465389999999999</v>
      </c>
      <c r="BE19">
        <v>94.014349999999993</v>
      </c>
      <c r="BF19">
        <v>95.206440000000001</v>
      </c>
      <c r="BG19">
        <v>91.271100000000004</v>
      </c>
      <c r="BH19">
        <v>94.320430000000002</v>
      </c>
      <c r="BI19">
        <v>99.829260000000005</v>
      </c>
      <c r="BJ19">
        <v>96.567750000000004</v>
      </c>
      <c r="BK19">
        <v>96.616039999999998</v>
      </c>
      <c r="BL19">
        <v>97.783600000000007</v>
      </c>
      <c r="BM19">
        <v>95.518870000000007</v>
      </c>
      <c r="BN19">
        <v>54.138030000000001</v>
      </c>
      <c r="BO19">
        <v>56.390270000000001</v>
      </c>
      <c r="BP19">
        <v>51.475969999999997</v>
      </c>
      <c r="BQ19">
        <v>63.785310000000003</v>
      </c>
      <c r="BR19">
        <v>87.143100000000004</v>
      </c>
      <c r="BS19">
        <v>61.51934</v>
      </c>
      <c r="BT19">
        <v>68.158869999999993</v>
      </c>
      <c r="BU19">
        <v>50.73659</v>
      </c>
      <c r="BV19">
        <v>33.027070000000002</v>
      </c>
      <c r="BW19">
        <v>47.330030000000001</v>
      </c>
      <c r="BX19">
        <v>43.135379999999998</v>
      </c>
      <c r="BY19">
        <v>32.599290000000003</v>
      </c>
      <c r="BZ19">
        <v>37.222529999999999</v>
      </c>
      <c r="CA19">
        <v>75.212729999999993</v>
      </c>
      <c r="CB19">
        <v>50.01202</v>
      </c>
      <c r="CC19">
        <v>31.664180000000002</v>
      </c>
      <c r="CD19">
        <v>35.262309999999999</v>
      </c>
      <c r="CE19">
        <v>27.76135</v>
      </c>
      <c r="CF19">
        <v>79.876530000000002</v>
      </c>
      <c r="CG19">
        <v>80.751410000000007</v>
      </c>
      <c r="CH19">
        <v>81.375110000000006</v>
      </c>
      <c r="CI19">
        <v>81.318349999999995</v>
      </c>
      <c r="CJ19">
        <v>97.704729999999998</v>
      </c>
      <c r="CK19">
        <v>83.911090000000002</v>
      </c>
      <c r="CL19">
        <v>78.662180000000006</v>
      </c>
      <c r="CM19">
        <v>77.070639999999997</v>
      </c>
      <c r="CN19">
        <v>48.815480000000001</v>
      </c>
      <c r="CO19">
        <v>75.811160000000001</v>
      </c>
      <c r="CP19">
        <v>88.016009999999994</v>
      </c>
      <c r="CQ19">
        <v>82.450479999999999</v>
      </c>
      <c r="CR19">
        <v>87.013829999999999</v>
      </c>
      <c r="CS19">
        <v>98.792540000000002</v>
      </c>
      <c r="CT19">
        <v>93.739140000000006</v>
      </c>
      <c r="CU19">
        <v>74.110439999999997</v>
      </c>
      <c r="CV19">
        <v>79.964619999999996</v>
      </c>
      <c r="CW19">
        <v>66.730419999999995</v>
      </c>
      <c r="CX19">
        <v>52.522399999999998</v>
      </c>
      <c r="CY19">
        <v>72.74024</v>
      </c>
      <c r="CZ19">
        <v>87.579759999999993</v>
      </c>
      <c r="DA19">
        <v>83.77704</v>
      </c>
      <c r="DB19">
        <v>96.909760000000006</v>
      </c>
      <c r="DC19">
        <v>91.834689999999995</v>
      </c>
      <c r="DD19">
        <v>75.792310000000001</v>
      </c>
      <c r="DE19">
        <v>80.379890000000003</v>
      </c>
      <c r="DF19">
        <v>73.813370000000006</v>
      </c>
    </row>
    <row r="20" spans="1:110" x14ac:dyDescent="0.2">
      <c r="A20" s="1">
        <v>45366.526388888888</v>
      </c>
      <c r="B20">
        <v>44</v>
      </c>
      <c r="C20">
        <v>32.331600000000002</v>
      </c>
      <c r="D20">
        <v>40.864089999999997</v>
      </c>
      <c r="E20">
        <v>50.696429999999999</v>
      </c>
      <c r="F20">
        <v>47.396189999999997</v>
      </c>
      <c r="G20">
        <v>89.951509999999999</v>
      </c>
      <c r="H20">
        <v>65.071010000000001</v>
      </c>
      <c r="I20">
        <v>70.047120000000007</v>
      </c>
      <c r="J20">
        <v>77.387860000000003</v>
      </c>
      <c r="K20">
        <v>54.009099999999997</v>
      </c>
      <c r="L20">
        <v>31.09074</v>
      </c>
      <c r="M20">
        <v>37.603810000000003</v>
      </c>
      <c r="N20">
        <v>53.741120000000002</v>
      </c>
      <c r="O20">
        <v>40.427849999999999</v>
      </c>
      <c r="P20">
        <v>77.213790000000003</v>
      </c>
      <c r="Q20">
        <v>53.884880000000003</v>
      </c>
      <c r="R20">
        <v>44.549480000000003</v>
      </c>
      <c r="S20">
        <v>45.665700000000001</v>
      </c>
      <c r="T20">
        <v>42.04907</v>
      </c>
      <c r="U20">
        <v>78.487279999999998</v>
      </c>
      <c r="V20">
        <v>88.238500000000002</v>
      </c>
      <c r="W20">
        <v>89.555689999999998</v>
      </c>
      <c r="X20">
        <v>87.972499999999997</v>
      </c>
      <c r="Y20">
        <v>98.430260000000004</v>
      </c>
      <c r="Z20">
        <v>89.231719999999996</v>
      </c>
      <c r="AA20">
        <v>91.027019999999993</v>
      </c>
      <c r="AB20">
        <v>87.801370000000006</v>
      </c>
      <c r="AC20">
        <v>88.206050000000005</v>
      </c>
      <c r="AD20">
        <v>38.532899999999998</v>
      </c>
      <c r="AE20">
        <v>36.747770000000003</v>
      </c>
      <c r="AF20">
        <v>44.93103</v>
      </c>
      <c r="AG20">
        <v>40.865169999999999</v>
      </c>
      <c r="AH20">
        <v>87.831620000000001</v>
      </c>
      <c r="AI20">
        <v>56.39246</v>
      </c>
      <c r="AJ20">
        <v>50.816890000000001</v>
      </c>
      <c r="AK20">
        <v>39.535690000000002</v>
      </c>
      <c r="AL20">
        <v>26.96603</v>
      </c>
      <c r="AM20">
        <v>85.390420000000006</v>
      </c>
      <c r="AN20">
        <v>84.843140000000005</v>
      </c>
      <c r="AO20">
        <v>1.465185</v>
      </c>
      <c r="AP20">
        <v>91.319040000000001</v>
      </c>
      <c r="AQ20">
        <v>99.289630000000002</v>
      </c>
      <c r="AR20">
        <v>95.602249999999998</v>
      </c>
      <c r="AS20">
        <v>82.66225</v>
      </c>
      <c r="AT20">
        <v>83.855580000000003</v>
      </c>
      <c r="AU20">
        <v>93.985669999999999</v>
      </c>
      <c r="AV20">
        <v>76.599369999999993</v>
      </c>
      <c r="AW20">
        <v>82.378230000000002</v>
      </c>
      <c r="AX20">
        <v>92.357200000000006</v>
      </c>
      <c r="AY20">
        <v>84.827910000000003</v>
      </c>
      <c r="AZ20">
        <v>96.966229999999996</v>
      </c>
      <c r="BA20">
        <v>85.457139999999995</v>
      </c>
      <c r="BB20">
        <v>88.618530000000007</v>
      </c>
      <c r="BC20">
        <v>86.193659999999994</v>
      </c>
      <c r="BD20">
        <v>68.43141</v>
      </c>
      <c r="BE20">
        <v>96.35154</v>
      </c>
      <c r="BF20">
        <v>96.333169999999996</v>
      </c>
      <c r="BG20">
        <v>95.236490000000003</v>
      </c>
      <c r="BH20">
        <v>96.356049999999996</v>
      </c>
      <c r="BI20">
        <v>99.906840000000003</v>
      </c>
      <c r="BJ20">
        <v>98.477509999999995</v>
      </c>
      <c r="BK20">
        <v>96.446269999999998</v>
      </c>
      <c r="BL20">
        <v>99.214089999999999</v>
      </c>
      <c r="BM20">
        <v>97.824650000000005</v>
      </c>
      <c r="BN20">
        <v>59.321330000000003</v>
      </c>
      <c r="BO20">
        <v>68.871690000000001</v>
      </c>
      <c r="BP20">
        <v>59.464179999999999</v>
      </c>
      <c r="BQ20">
        <v>72.741540000000001</v>
      </c>
      <c r="BR20">
        <v>93.475260000000006</v>
      </c>
      <c r="BS20">
        <v>70.153919999999999</v>
      </c>
      <c r="BT20">
        <v>77.139960000000002</v>
      </c>
      <c r="BU20">
        <v>58.170679999999997</v>
      </c>
      <c r="BV20">
        <v>38.8904</v>
      </c>
      <c r="BW20">
        <v>49.101489999999998</v>
      </c>
      <c r="BX20">
        <v>49.787469999999999</v>
      </c>
      <c r="BY20">
        <v>35.429690000000001</v>
      </c>
      <c r="BZ20">
        <v>39.691809999999997</v>
      </c>
      <c r="CA20">
        <v>79.764600000000002</v>
      </c>
      <c r="CB20">
        <v>53.200809999999997</v>
      </c>
      <c r="CC20">
        <v>38.009990000000002</v>
      </c>
      <c r="CD20">
        <v>42.80574</v>
      </c>
      <c r="CE20">
        <v>32.490369999999999</v>
      </c>
      <c r="CF20">
        <v>82.844449999999995</v>
      </c>
      <c r="CG20">
        <v>83.180859999999996</v>
      </c>
      <c r="CH20">
        <v>80.271870000000007</v>
      </c>
      <c r="CI20">
        <v>80.445049999999995</v>
      </c>
      <c r="CJ20">
        <v>97.633240000000001</v>
      </c>
      <c r="CK20">
        <v>83.231120000000004</v>
      </c>
      <c r="CL20">
        <v>88.258780000000002</v>
      </c>
      <c r="CM20">
        <v>86.821789999999993</v>
      </c>
      <c r="CN20">
        <v>74.397800000000004</v>
      </c>
      <c r="CO20">
        <v>84.497919999999993</v>
      </c>
      <c r="CP20">
        <v>91.422709999999995</v>
      </c>
      <c r="CQ20">
        <v>90.411789999999996</v>
      </c>
      <c r="CR20">
        <v>92.122820000000004</v>
      </c>
      <c r="CS20">
        <v>99.467060000000004</v>
      </c>
      <c r="CT20">
        <v>96.475629999999995</v>
      </c>
      <c r="CU20">
        <v>83.922899999999998</v>
      </c>
      <c r="CV20">
        <v>88.22484</v>
      </c>
      <c r="CW20">
        <v>70.58887</v>
      </c>
      <c r="CX20">
        <v>61.808750000000003</v>
      </c>
      <c r="CY20">
        <v>84.188699999999997</v>
      </c>
      <c r="CZ20">
        <v>93.571759999999998</v>
      </c>
      <c r="DA20">
        <v>91.871510000000001</v>
      </c>
      <c r="DB20">
        <v>99.102720000000005</v>
      </c>
      <c r="DC20">
        <v>95.917209999999997</v>
      </c>
      <c r="DD20">
        <v>86.641909999999996</v>
      </c>
      <c r="DE20">
        <v>87.550870000000003</v>
      </c>
      <c r="DF20">
        <v>82.250870000000006</v>
      </c>
    </row>
    <row r="21" spans="1:110" x14ac:dyDescent="0.2">
      <c r="A21" s="1">
        <v>45366.693055555559</v>
      </c>
      <c r="B21">
        <v>48</v>
      </c>
      <c r="C21">
        <v>46.297530000000002</v>
      </c>
      <c r="D21">
        <v>59.146160000000002</v>
      </c>
      <c r="E21">
        <v>67.078779999999995</v>
      </c>
      <c r="F21">
        <v>61.639249999999997</v>
      </c>
      <c r="G21">
        <v>96.140659999999997</v>
      </c>
      <c r="H21">
        <v>80.06241</v>
      </c>
      <c r="I21">
        <v>82.528880000000001</v>
      </c>
      <c r="J21">
        <v>89.629519999999999</v>
      </c>
      <c r="K21">
        <v>70.387479999999996</v>
      </c>
      <c r="L21">
        <v>49.374369999999999</v>
      </c>
      <c r="M21">
        <v>57.475610000000003</v>
      </c>
      <c r="N21">
        <v>80.366380000000007</v>
      </c>
      <c r="O21">
        <v>60.902880000000003</v>
      </c>
      <c r="P21">
        <v>92.696879999999993</v>
      </c>
      <c r="Q21">
        <v>76.078109999999995</v>
      </c>
      <c r="R21">
        <v>61.606340000000003</v>
      </c>
      <c r="S21">
        <v>69.897970000000001</v>
      </c>
      <c r="T21">
        <v>64.422799999999995</v>
      </c>
      <c r="U21">
        <v>93.825810000000004</v>
      </c>
      <c r="V21">
        <v>95.869190000000003</v>
      </c>
      <c r="W21">
        <v>94.39179</v>
      </c>
      <c r="X21">
        <v>98.087299999999999</v>
      </c>
      <c r="Y21">
        <v>99.754149999999996</v>
      </c>
      <c r="Z21">
        <v>96.578749999999999</v>
      </c>
      <c r="AA21">
        <v>97.088539999999995</v>
      </c>
      <c r="AB21">
        <v>97.064580000000007</v>
      </c>
      <c r="AC21">
        <v>96.569950000000006</v>
      </c>
      <c r="AD21">
        <v>52.578670000000002</v>
      </c>
      <c r="AE21">
        <v>52.685139999999997</v>
      </c>
      <c r="AF21">
        <v>63.491309999999999</v>
      </c>
      <c r="AG21">
        <v>54.952599999999997</v>
      </c>
      <c r="AH21">
        <v>96.602779999999996</v>
      </c>
      <c r="AI21">
        <v>72.990799999999993</v>
      </c>
      <c r="AJ21">
        <v>69.144310000000004</v>
      </c>
      <c r="AK21">
        <v>52.518990000000002</v>
      </c>
      <c r="AL21">
        <v>37.609670000000001</v>
      </c>
      <c r="AM21">
        <v>96.469610000000003</v>
      </c>
      <c r="AN21">
        <v>96.651150000000001</v>
      </c>
      <c r="AO21">
        <v>97.653040000000004</v>
      </c>
      <c r="AP21">
        <v>99.05471</v>
      </c>
      <c r="AQ21">
        <v>99.87679</v>
      </c>
      <c r="AR21">
        <v>99.44171</v>
      </c>
      <c r="AS21">
        <v>95.873170000000002</v>
      </c>
      <c r="AT21">
        <v>95.041510000000002</v>
      </c>
      <c r="AU21">
        <v>99.033940000000001</v>
      </c>
      <c r="AV21">
        <v>93.547160000000005</v>
      </c>
      <c r="AW21">
        <v>95.881360000000001</v>
      </c>
      <c r="AX21">
        <v>99.067819999999998</v>
      </c>
      <c r="AY21">
        <v>97.165509999999998</v>
      </c>
      <c r="AZ21">
        <v>99.511709999999994</v>
      </c>
      <c r="BA21">
        <v>96.895070000000004</v>
      </c>
      <c r="BB21">
        <v>96.825959999999995</v>
      </c>
      <c r="BC21">
        <v>96.555729999999997</v>
      </c>
      <c r="BD21">
        <v>86.617540000000005</v>
      </c>
      <c r="BE21">
        <v>99.595309999999998</v>
      </c>
      <c r="BF21">
        <v>99.703950000000006</v>
      </c>
      <c r="BG21">
        <v>99.305000000000007</v>
      </c>
      <c r="BH21">
        <v>99.884450000000001</v>
      </c>
      <c r="BI21">
        <v>99.993430000000004</v>
      </c>
      <c r="BJ21">
        <v>99.693640000000002</v>
      </c>
      <c r="BK21">
        <v>99.841970000000003</v>
      </c>
      <c r="BL21">
        <v>99.898169999999993</v>
      </c>
      <c r="BM21">
        <v>99.564499999999995</v>
      </c>
      <c r="BN21">
        <v>83.455250000000007</v>
      </c>
      <c r="BO21">
        <v>86.405150000000006</v>
      </c>
      <c r="BP21">
        <v>80.050060000000002</v>
      </c>
      <c r="BQ21">
        <v>89.904390000000006</v>
      </c>
      <c r="BR21">
        <v>97.825680000000006</v>
      </c>
      <c r="BS21">
        <v>88.615260000000006</v>
      </c>
      <c r="BT21">
        <v>93.024540000000002</v>
      </c>
      <c r="BU21">
        <v>82.570750000000004</v>
      </c>
      <c r="BV21">
        <v>57.420369999999998</v>
      </c>
      <c r="BW21">
        <v>70.993560000000002</v>
      </c>
      <c r="BX21">
        <v>67.596350000000001</v>
      </c>
      <c r="BY21">
        <v>52.763260000000002</v>
      </c>
      <c r="BZ21">
        <v>62.918349999999997</v>
      </c>
      <c r="CA21">
        <v>89.582880000000003</v>
      </c>
      <c r="CB21">
        <v>71.177539999999993</v>
      </c>
      <c r="CC21">
        <v>54.47504</v>
      </c>
      <c r="CD21">
        <v>58.659100000000002</v>
      </c>
      <c r="CE21">
        <v>45.912089999999999</v>
      </c>
      <c r="CF21">
        <v>94.866069999999993</v>
      </c>
      <c r="CG21">
        <v>95.831580000000002</v>
      </c>
      <c r="CH21">
        <v>94.957930000000005</v>
      </c>
      <c r="CI21">
        <v>95.760279999999995</v>
      </c>
      <c r="CJ21">
        <v>99.822299999999998</v>
      </c>
      <c r="CK21">
        <v>96.838390000000004</v>
      </c>
      <c r="CL21">
        <v>96.670599999999993</v>
      </c>
      <c r="CM21">
        <v>96.032359999999997</v>
      </c>
      <c r="CN21">
        <v>92.798900000000003</v>
      </c>
      <c r="CO21">
        <v>96.787379999999999</v>
      </c>
      <c r="CP21">
        <v>99.18638</v>
      </c>
      <c r="CQ21">
        <v>98.385310000000004</v>
      </c>
      <c r="CR21">
        <v>98.94238</v>
      </c>
      <c r="CS21">
        <v>99.957599999999999</v>
      </c>
      <c r="CT21">
        <v>99.371989999999997</v>
      </c>
      <c r="CU21">
        <v>95.221879999999999</v>
      </c>
      <c r="CV21">
        <v>98.053150000000002</v>
      </c>
      <c r="CW21">
        <v>91.959879999999998</v>
      </c>
      <c r="CX21">
        <v>81.140180000000001</v>
      </c>
      <c r="CY21">
        <v>95.213480000000004</v>
      </c>
      <c r="CZ21">
        <v>99.114140000000006</v>
      </c>
      <c r="DA21">
        <v>98.293670000000006</v>
      </c>
      <c r="DB21">
        <v>99.928979999999996</v>
      </c>
      <c r="DC21">
        <v>99.752170000000007</v>
      </c>
      <c r="DD21">
        <v>97.251009999999994</v>
      </c>
      <c r="DE21">
        <v>97.776439999999994</v>
      </c>
      <c r="DF21">
        <v>96.229100000000003</v>
      </c>
    </row>
    <row r="22" spans="1:110" x14ac:dyDescent="0.2">
      <c r="A22" s="1">
        <v>45366.859722222223</v>
      </c>
      <c r="B22">
        <v>52</v>
      </c>
      <c r="C22">
        <v>40.80782</v>
      </c>
      <c r="D22">
        <v>59.494030000000002</v>
      </c>
      <c r="E22">
        <v>67.916640000000001</v>
      </c>
      <c r="F22">
        <v>61.055309999999999</v>
      </c>
      <c r="G22">
        <v>94.652730000000005</v>
      </c>
      <c r="H22">
        <v>82.587609999999998</v>
      </c>
      <c r="I22">
        <v>85.340559999999996</v>
      </c>
      <c r="J22">
        <v>89.286150000000006</v>
      </c>
      <c r="K22">
        <v>70.815330000000003</v>
      </c>
      <c r="L22">
        <v>49.943309999999997</v>
      </c>
      <c r="M22">
        <v>55.14423</v>
      </c>
      <c r="N22">
        <v>75.920969999999997</v>
      </c>
      <c r="O22">
        <v>56.451599999999999</v>
      </c>
      <c r="P22">
        <v>87.892809999999997</v>
      </c>
      <c r="Q22">
        <v>72.773700000000005</v>
      </c>
      <c r="R22">
        <v>58.081769999999999</v>
      </c>
      <c r="S22">
        <v>64.679850000000002</v>
      </c>
      <c r="T22">
        <v>58.531179999999999</v>
      </c>
      <c r="U22">
        <v>93.097949999999997</v>
      </c>
      <c r="V22">
        <v>94.208640000000003</v>
      </c>
      <c r="W22">
        <v>94.363119999999995</v>
      </c>
      <c r="X22">
        <v>95.337909999999994</v>
      </c>
      <c r="Y22">
        <v>99.443969999999993</v>
      </c>
      <c r="Z22">
        <v>95.424289999999999</v>
      </c>
      <c r="AA22">
        <v>95.472629999999995</v>
      </c>
      <c r="AB22">
        <v>95.081460000000007</v>
      </c>
      <c r="AC22">
        <v>95.559920000000005</v>
      </c>
      <c r="AD22">
        <v>58.039020000000001</v>
      </c>
      <c r="AE22">
        <v>54.113239999999998</v>
      </c>
      <c r="AF22">
        <v>64.359570000000005</v>
      </c>
      <c r="AG22">
        <v>58.352809999999998</v>
      </c>
      <c r="AH22">
        <v>95.965289999999996</v>
      </c>
      <c r="AI22">
        <v>78.654730000000001</v>
      </c>
      <c r="AJ22">
        <v>71.646559999999994</v>
      </c>
      <c r="AK22">
        <v>56.430419999999998</v>
      </c>
      <c r="AL22">
        <v>39.960729999999998</v>
      </c>
      <c r="AM22">
        <v>97.345380000000006</v>
      </c>
      <c r="AN22">
        <v>95.954840000000004</v>
      </c>
      <c r="AO22">
        <v>95.449010000000001</v>
      </c>
      <c r="AP22">
        <v>98.815079999999995</v>
      </c>
      <c r="AQ22">
        <v>99.650279999999995</v>
      </c>
      <c r="AR22">
        <v>98.882750000000001</v>
      </c>
      <c r="AS22">
        <v>96.150980000000004</v>
      </c>
      <c r="AT22">
        <v>95.495999999999995</v>
      </c>
      <c r="AU22">
        <v>98.405879999999996</v>
      </c>
      <c r="AV22">
        <v>94.96414</v>
      </c>
      <c r="AW22">
        <v>97.225880000000004</v>
      </c>
      <c r="AX22">
        <v>98.015870000000007</v>
      </c>
      <c r="AY22">
        <v>97.296970000000002</v>
      </c>
      <c r="AZ22">
        <v>99.087490000000003</v>
      </c>
      <c r="BA22">
        <v>95.198790000000002</v>
      </c>
      <c r="BB22">
        <v>95.845020000000005</v>
      </c>
      <c r="BC22">
        <v>97.409989999999993</v>
      </c>
      <c r="BD22">
        <v>89.21396</v>
      </c>
      <c r="BE22">
        <v>99.351839999999996</v>
      </c>
      <c r="BF22">
        <v>99.492180000000005</v>
      </c>
      <c r="BG22">
        <v>99.087350000000001</v>
      </c>
      <c r="BH22">
        <v>99.586979999999997</v>
      </c>
      <c r="BI22">
        <v>99.99091</v>
      </c>
      <c r="BJ22">
        <v>99.661060000000006</v>
      </c>
      <c r="BK22">
        <v>99.656970000000001</v>
      </c>
      <c r="BL22">
        <v>99.853170000000006</v>
      </c>
      <c r="BM22">
        <v>99.333410000000001</v>
      </c>
      <c r="BN22">
        <v>85.811019999999999</v>
      </c>
      <c r="BO22">
        <v>89.003429999999994</v>
      </c>
      <c r="BP22">
        <v>86.305989999999994</v>
      </c>
      <c r="BQ22">
        <v>92.071529999999996</v>
      </c>
      <c r="BR22">
        <v>98.007679999999993</v>
      </c>
      <c r="BS22">
        <v>90.440539999999999</v>
      </c>
      <c r="BT22">
        <v>93.942229999999995</v>
      </c>
      <c r="BU22">
        <v>84.604740000000007</v>
      </c>
      <c r="BV22">
        <v>63.568069999999999</v>
      </c>
      <c r="BW22">
        <v>70.339340000000007</v>
      </c>
      <c r="BX22">
        <v>66.477059999999994</v>
      </c>
      <c r="BY22">
        <v>52.211889999999997</v>
      </c>
      <c r="BZ22">
        <v>59.646799999999999</v>
      </c>
      <c r="CA22">
        <v>87.657480000000007</v>
      </c>
      <c r="CB22">
        <v>67.22766</v>
      </c>
      <c r="CC22">
        <v>52.674959999999999</v>
      </c>
      <c r="CD22">
        <v>51.570480000000003</v>
      </c>
      <c r="CE22">
        <v>44.833979999999997</v>
      </c>
      <c r="CF22">
        <v>91.409800000000004</v>
      </c>
      <c r="CG22">
        <v>93.620800000000003</v>
      </c>
      <c r="CH22">
        <v>90.237790000000004</v>
      </c>
      <c r="CI22">
        <v>92.877030000000005</v>
      </c>
      <c r="CJ22">
        <v>98.547790000000006</v>
      </c>
      <c r="CK22">
        <v>93.519509999999997</v>
      </c>
      <c r="CL22">
        <v>92.485039999999998</v>
      </c>
      <c r="CM22">
        <v>94.406130000000005</v>
      </c>
      <c r="CN22">
        <v>89.434070000000006</v>
      </c>
      <c r="CO22">
        <v>97.74606</v>
      </c>
      <c r="CP22">
        <v>99.087760000000003</v>
      </c>
      <c r="CQ22">
        <v>99.045419999999993</v>
      </c>
      <c r="CR22">
        <v>99.29025</v>
      </c>
      <c r="CS22">
        <v>99.904529999999994</v>
      </c>
      <c r="CT22">
        <v>98.997280000000003</v>
      </c>
      <c r="CU22">
        <v>96.114850000000004</v>
      </c>
      <c r="CV22">
        <v>98.360200000000006</v>
      </c>
      <c r="CW22">
        <v>94.695819999999998</v>
      </c>
      <c r="CX22">
        <v>85.688159999999996</v>
      </c>
      <c r="CY22">
        <v>96.802260000000004</v>
      </c>
      <c r="CZ22">
        <v>98.960049999999995</v>
      </c>
      <c r="DA22">
        <v>98.364009999999993</v>
      </c>
      <c r="DB22">
        <v>99.925420000000003</v>
      </c>
      <c r="DC22">
        <v>99.61054</v>
      </c>
      <c r="DD22">
        <v>97.770359999999997</v>
      </c>
      <c r="DE22">
        <v>98.116799999999998</v>
      </c>
      <c r="DF22">
        <v>96.426869999999994</v>
      </c>
    </row>
    <row r="23" spans="1:110" x14ac:dyDescent="0.2">
      <c r="A23" s="1">
        <v>45367.026388888888</v>
      </c>
      <c r="B23">
        <v>56</v>
      </c>
      <c r="C23">
        <v>44.534939999999999</v>
      </c>
      <c r="D23">
        <v>63.642989999999998</v>
      </c>
      <c r="E23">
        <v>71.403989999999993</v>
      </c>
      <c r="F23">
        <v>64.586010000000002</v>
      </c>
      <c r="G23">
        <v>94.809330000000003</v>
      </c>
      <c r="H23">
        <v>84.223939999999999</v>
      </c>
      <c r="I23">
        <v>85.663650000000004</v>
      </c>
      <c r="J23">
        <v>89.867580000000004</v>
      </c>
      <c r="K23">
        <v>73.66995</v>
      </c>
      <c r="L23">
        <v>48.323590000000003</v>
      </c>
      <c r="M23">
        <v>55.28313</v>
      </c>
      <c r="N23">
        <v>77.167969999999997</v>
      </c>
      <c r="O23">
        <v>61.928669999999997</v>
      </c>
      <c r="P23">
        <v>87.230519999999999</v>
      </c>
      <c r="Q23">
        <v>71.747630000000001</v>
      </c>
      <c r="R23">
        <v>59.118839999999999</v>
      </c>
      <c r="S23">
        <v>68.810569999999998</v>
      </c>
      <c r="T23">
        <v>62.307000000000002</v>
      </c>
      <c r="U23">
        <v>90.558009999999996</v>
      </c>
      <c r="V23">
        <v>92.925120000000007</v>
      </c>
      <c r="W23">
        <v>92.69408</v>
      </c>
      <c r="X23">
        <v>95.067599999999999</v>
      </c>
      <c r="Y23">
        <v>99.281779999999998</v>
      </c>
      <c r="Z23">
        <v>94.244069999999994</v>
      </c>
      <c r="AA23">
        <v>97.402820000000006</v>
      </c>
      <c r="AB23">
        <v>94.879519999999999</v>
      </c>
      <c r="AC23">
        <v>95.723470000000006</v>
      </c>
      <c r="AD23">
        <v>60.848239999999997</v>
      </c>
      <c r="AE23">
        <v>57.992989999999999</v>
      </c>
      <c r="AF23">
        <v>69.504270000000005</v>
      </c>
      <c r="AG23">
        <v>61.933590000000002</v>
      </c>
      <c r="AH23">
        <v>96.565299999999993</v>
      </c>
      <c r="AI23">
        <v>80.673010000000005</v>
      </c>
      <c r="AJ23">
        <v>77.359250000000003</v>
      </c>
      <c r="AK23">
        <v>58.32461</v>
      </c>
      <c r="AL23">
        <v>45.230820000000001</v>
      </c>
      <c r="AM23">
        <v>97.847260000000006</v>
      </c>
      <c r="AN23">
        <v>97.729190000000003</v>
      </c>
      <c r="AO23">
        <v>97.704800000000006</v>
      </c>
      <c r="AP23">
        <v>98.658760000000001</v>
      </c>
      <c r="AQ23">
        <v>99.666120000000006</v>
      </c>
      <c r="AR23">
        <v>99.022750000000002</v>
      </c>
      <c r="AS23">
        <v>97.165300000000002</v>
      </c>
      <c r="AT23">
        <v>96.27704</v>
      </c>
      <c r="AU23">
        <v>98.537130000000005</v>
      </c>
      <c r="AV23">
        <v>96.253079999999997</v>
      </c>
      <c r="AW23">
        <v>98.596339999999998</v>
      </c>
      <c r="AX23">
        <v>98.664420000000007</v>
      </c>
      <c r="AY23">
        <v>98.175259999999994</v>
      </c>
      <c r="AZ23">
        <v>99.080060000000003</v>
      </c>
      <c r="BA23">
        <v>97.207440000000005</v>
      </c>
      <c r="BB23">
        <v>98.086889999999997</v>
      </c>
      <c r="BC23">
        <v>98.481470000000002</v>
      </c>
      <c r="BD23">
        <v>91.95326</v>
      </c>
      <c r="BE23">
        <v>99.279929999999993</v>
      </c>
      <c r="BF23">
        <v>99.607249999999993</v>
      </c>
      <c r="BG23">
        <v>99.325140000000005</v>
      </c>
      <c r="BH23">
        <v>99.550030000000007</v>
      </c>
      <c r="BI23">
        <v>99.965770000000006</v>
      </c>
      <c r="BJ23">
        <v>99.67089</v>
      </c>
      <c r="BK23">
        <v>99.61627</v>
      </c>
      <c r="BL23">
        <v>99.601100000000002</v>
      </c>
      <c r="BM23">
        <v>99.196070000000006</v>
      </c>
      <c r="BN23">
        <v>90.581630000000004</v>
      </c>
      <c r="BO23">
        <v>93.679310000000001</v>
      </c>
      <c r="BP23">
        <v>89.746780000000001</v>
      </c>
      <c r="BQ23">
        <v>94.658940000000001</v>
      </c>
      <c r="BR23">
        <v>98.583650000000006</v>
      </c>
      <c r="BS23">
        <v>93.500739999999993</v>
      </c>
      <c r="BT23">
        <v>96.756169999999997</v>
      </c>
      <c r="BU23">
        <v>89.662710000000004</v>
      </c>
      <c r="BV23">
        <v>71.463130000000007</v>
      </c>
      <c r="BW23">
        <v>74.739670000000004</v>
      </c>
      <c r="BX23">
        <v>70.011259999999993</v>
      </c>
      <c r="BY23">
        <v>55.453249999999997</v>
      </c>
      <c r="BZ23">
        <v>60.280940000000001</v>
      </c>
      <c r="CA23">
        <v>87.800060000000002</v>
      </c>
      <c r="CB23">
        <v>73.720699999999994</v>
      </c>
      <c r="CC23">
        <v>56.599919999999997</v>
      </c>
      <c r="CD23">
        <v>58.932130000000001</v>
      </c>
      <c r="CE23">
        <v>50.102310000000003</v>
      </c>
      <c r="CF23">
        <v>92.049959999999999</v>
      </c>
      <c r="CG23">
        <v>92.990530000000007</v>
      </c>
      <c r="CH23">
        <v>91.293909999999997</v>
      </c>
      <c r="CI23">
        <v>94.645979999999994</v>
      </c>
      <c r="CJ23">
        <v>98.254959999999997</v>
      </c>
      <c r="CK23">
        <v>94.759270000000001</v>
      </c>
      <c r="CL23">
        <v>93.93329</v>
      </c>
      <c r="CM23">
        <v>92.466800000000006</v>
      </c>
      <c r="CN23">
        <v>90.34281</v>
      </c>
      <c r="CO23">
        <v>98.24709</v>
      </c>
      <c r="CP23">
        <v>99.480509999999995</v>
      </c>
      <c r="CQ23">
        <v>98.362790000000004</v>
      </c>
      <c r="CR23">
        <v>99.455579999999998</v>
      </c>
      <c r="CS23">
        <v>99.922349999999994</v>
      </c>
      <c r="CT23">
        <v>99.426280000000006</v>
      </c>
      <c r="CU23">
        <v>97.389240000000001</v>
      </c>
      <c r="CV23">
        <v>99.007999999999996</v>
      </c>
      <c r="CW23">
        <v>96.632429999999999</v>
      </c>
      <c r="CX23">
        <v>90.139989999999997</v>
      </c>
      <c r="CY23">
        <v>98.280360000000002</v>
      </c>
      <c r="CZ23">
        <v>98.680199999999999</v>
      </c>
      <c r="DA23">
        <v>98.935469999999995</v>
      </c>
      <c r="DB23">
        <v>99.945849999999993</v>
      </c>
      <c r="DC23">
        <v>99.805769999999995</v>
      </c>
      <c r="DD23">
        <v>98.331509999999994</v>
      </c>
      <c r="DE23">
        <v>98.226129999999998</v>
      </c>
      <c r="DF23">
        <v>97.709379999999996</v>
      </c>
    </row>
    <row r="24" spans="1:110" x14ac:dyDescent="0.2">
      <c r="A24" s="1">
        <v>45367.193055555559</v>
      </c>
      <c r="B24">
        <v>60</v>
      </c>
      <c r="C24">
        <v>48.355890000000002</v>
      </c>
      <c r="D24">
        <v>67.300380000000004</v>
      </c>
      <c r="E24">
        <v>73.563289999999995</v>
      </c>
      <c r="F24">
        <v>63.86083</v>
      </c>
      <c r="G24">
        <v>94.459680000000006</v>
      </c>
      <c r="H24">
        <v>87.233940000000004</v>
      </c>
      <c r="I24">
        <v>87.012050000000002</v>
      </c>
      <c r="J24">
        <v>90.309010000000001</v>
      </c>
      <c r="K24">
        <v>76.017939999999996</v>
      </c>
      <c r="L24">
        <v>53.214390000000002</v>
      </c>
      <c r="M24">
        <v>55.380380000000002</v>
      </c>
      <c r="N24">
        <v>76.847470000000001</v>
      </c>
      <c r="O24">
        <v>58.897239999999996</v>
      </c>
      <c r="P24">
        <v>90.075940000000003</v>
      </c>
      <c r="Q24">
        <v>74.374529999999993</v>
      </c>
      <c r="R24">
        <v>64.890590000000003</v>
      </c>
      <c r="S24">
        <v>67.997709999999998</v>
      </c>
      <c r="T24">
        <v>65.45993</v>
      </c>
      <c r="U24">
        <v>92.610969999999995</v>
      </c>
      <c r="V24">
        <v>91.647509999999997</v>
      </c>
      <c r="W24">
        <v>93.876620000000003</v>
      </c>
      <c r="X24">
        <v>95.689329999999998</v>
      </c>
      <c r="Y24">
        <v>98.632459999999995</v>
      </c>
      <c r="Z24">
        <v>95.237920000000003</v>
      </c>
      <c r="AA24">
        <v>96.698670000000007</v>
      </c>
      <c r="AB24">
        <v>94.545450000000002</v>
      </c>
      <c r="AC24">
        <v>95.403049999999993</v>
      </c>
      <c r="AD24">
        <v>65.372529999999998</v>
      </c>
      <c r="AE24">
        <v>67.758610000000004</v>
      </c>
      <c r="AF24">
        <v>76.898489999999995</v>
      </c>
      <c r="AG24">
        <v>72.182370000000006</v>
      </c>
      <c r="AH24">
        <v>96.666979999999995</v>
      </c>
      <c r="AI24">
        <v>84.404300000000006</v>
      </c>
      <c r="AJ24">
        <v>81.405079999999998</v>
      </c>
      <c r="AK24">
        <v>67.876480000000001</v>
      </c>
      <c r="AL24">
        <v>51.965960000000003</v>
      </c>
      <c r="AM24">
        <v>97.550319999999999</v>
      </c>
      <c r="AN24">
        <v>98.221010000000007</v>
      </c>
      <c r="AO24">
        <v>97.695650000000001</v>
      </c>
      <c r="AP24">
        <v>99.078410000000005</v>
      </c>
      <c r="AQ24">
        <v>99.407570000000007</v>
      </c>
      <c r="AR24">
        <v>99.007109999999997</v>
      </c>
      <c r="AS24">
        <v>97.728359999999995</v>
      </c>
      <c r="AT24">
        <v>98.236170000000001</v>
      </c>
      <c r="AU24">
        <v>98.446430000000007</v>
      </c>
      <c r="AV24">
        <v>96.456779999999995</v>
      </c>
      <c r="AW24">
        <v>98.46011</v>
      </c>
      <c r="AX24">
        <v>98.055139999999994</v>
      </c>
      <c r="AY24">
        <v>98.932199999999995</v>
      </c>
      <c r="AZ24">
        <v>99.481179999999995</v>
      </c>
      <c r="BA24">
        <v>97.69708</v>
      </c>
      <c r="BB24">
        <v>98.26943</v>
      </c>
      <c r="BC24">
        <v>99.00752</v>
      </c>
      <c r="BD24">
        <v>95.378799999999998</v>
      </c>
      <c r="BE24">
        <v>99.367490000000004</v>
      </c>
      <c r="BF24">
        <v>99.73066</v>
      </c>
      <c r="BG24">
        <v>99.235209999999995</v>
      </c>
      <c r="BH24">
        <v>99.50188</v>
      </c>
      <c r="BI24">
        <v>99.949259999999995</v>
      </c>
      <c r="BJ24">
        <v>99.55453</v>
      </c>
      <c r="BK24">
        <v>99.603840000000005</v>
      </c>
      <c r="BL24">
        <v>99.759540000000001</v>
      </c>
      <c r="BM24">
        <v>99.252420000000001</v>
      </c>
      <c r="BN24">
        <v>94.284649999999999</v>
      </c>
      <c r="BO24">
        <v>95.201650000000001</v>
      </c>
      <c r="BP24">
        <v>94.409549999999996</v>
      </c>
      <c r="BQ24">
        <v>96.521590000000003</v>
      </c>
      <c r="BR24">
        <v>98.776290000000003</v>
      </c>
      <c r="BS24">
        <v>95.175219999999996</v>
      </c>
      <c r="BT24">
        <v>97.614450000000005</v>
      </c>
      <c r="BU24">
        <v>92.308099999999996</v>
      </c>
      <c r="BV24">
        <v>77.956249999999997</v>
      </c>
      <c r="BW24">
        <v>77.194119999999998</v>
      </c>
      <c r="BX24">
        <v>73.553730000000002</v>
      </c>
      <c r="BY24">
        <v>60.529249999999998</v>
      </c>
      <c r="BZ24">
        <v>68.987030000000004</v>
      </c>
      <c r="CA24">
        <v>89.034630000000007</v>
      </c>
      <c r="CB24">
        <v>75.157619999999994</v>
      </c>
      <c r="CC24">
        <v>56.743540000000003</v>
      </c>
      <c r="CD24">
        <v>60.09055</v>
      </c>
      <c r="CE24">
        <v>53.420900000000003</v>
      </c>
      <c r="CF24">
        <v>91.624979999999994</v>
      </c>
      <c r="CG24">
        <v>91.496870000000001</v>
      </c>
      <c r="CH24">
        <v>93.399460000000005</v>
      </c>
      <c r="CI24">
        <v>93.19717</v>
      </c>
      <c r="CJ24">
        <v>98.066810000000004</v>
      </c>
      <c r="CK24">
        <v>96.378039999999999</v>
      </c>
      <c r="CL24">
        <v>94.50667</v>
      </c>
      <c r="CM24">
        <v>93.077669999999998</v>
      </c>
      <c r="CN24">
        <v>91.196789999999993</v>
      </c>
      <c r="CO24">
        <v>99.192939999999993</v>
      </c>
      <c r="CP24">
        <v>99.519970000000001</v>
      </c>
      <c r="CQ24">
        <v>99.156949999999995</v>
      </c>
      <c r="CR24">
        <v>99.399709999999999</v>
      </c>
      <c r="CS24">
        <v>99.904589999999999</v>
      </c>
      <c r="CT24">
        <v>98.836250000000007</v>
      </c>
      <c r="CU24">
        <v>97.996889999999993</v>
      </c>
      <c r="CV24">
        <v>99.219290000000001</v>
      </c>
      <c r="CW24">
        <v>98.290949999999995</v>
      </c>
      <c r="CX24">
        <v>91.387190000000004</v>
      </c>
      <c r="CY24">
        <v>98.408680000000004</v>
      </c>
      <c r="CZ24">
        <v>99.146289999999993</v>
      </c>
      <c r="DA24">
        <v>99.018450000000001</v>
      </c>
      <c r="DB24">
        <v>99.914569999999998</v>
      </c>
      <c r="DC24">
        <v>99.831599999999995</v>
      </c>
      <c r="DD24">
        <v>98.603579999999994</v>
      </c>
      <c r="DE24">
        <v>98.610069999999993</v>
      </c>
      <c r="DF24">
        <v>97.724130000000002</v>
      </c>
    </row>
    <row r="25" spans="1:110" x14ac:dyDescent="0.2">
      <c r="A25" s="1">
        <v>45367.359722222223</v>
      </c>
      <c r="B25">
        <v>64</v>
      </c>
      <c r="C25">
        <v>52.186680000000003</v>
      </c>
      <c r="D25">
        <v>71.478229999999996</v>
      </c>
      <c r="E25">
        <v>80.35333</v>
      </c>
      <c r="F25">
        <v>73.799099999999996</v>
      </c>
      <c r="G25">
        <v>95.698210000000003</v>
      </c>
      <c r="H25">
        <v>89.541629999999998</v>
      </c>
      <c r="I25">
        <v>90.20187</v>
      </c>
      <c r="J25">
        <v>90.860259999999997</v>
      </c>
      <c r="K25">
        <v>79.949460000000002</v>
      </c>
      <c r="L25">
        <v>56.962470000000003</v>
      </c>
      <c r="M25">
        <v>60.828009999999999</v>
      </c>
      <c r="N25">
        <v>78.361630000000005</v>
      </c>
      <c r="O25">
        <v>69.117739999999998</v>
      </c>
      <c r="P25">
        <v>87.633290000000002</v>
      </c>
      <c r="Q25">
        <v>77.661910000000006</v>
      </c>
      <c r="R25">
        <v>66.206969999999998</v>
      </c>
      <c r="S25">
        <v>69.580690000000004</v>
      </c>
      <c r="T25">
        <v>67.642169999999993</v>
      </c>
      <c r="U25">
        <v>93.466380000000001</v>
      </c>
      <c r="V25">
        <v>93.651039999999995</v>
      </c>
      <c r="W25">
        <v>91.128649999999993</v>
      </c>
      <c r="X25">
        <v>95.079350000000005</v>
      </c>
      <c r="Y25">
        <v>99.188550000000006</v>
      </c>
      <c r="Z25">
        <v>96.04177</v>
      </c>
      <c r="AA25">
        <v>97.408900000000003</v>
      </c>
      <c r="AB25">
        <v>96.011179999999996</v>
      </c>
      <c r="AC25">
        <v>96.645200000000003</v>
      </c>
      <c r="AD25">
        <v>72.838179999999994</v>
      </c>
      <c r="AE25">
        <v>73.040930000000003</v>
      </c>
      <c r="AF25">
        <v>82.822199999999995</v>
      </c>
      <c r="AG25">
        <v>78.130740000000003</v>
      </c>
      <c r="AH25">
        <v>97.129580000000004</v>
      </c>
      <c r="AI25">
        <v>92.346270000000004</v>
      </c>
      <c r="AJ25">
        <v>87.003720000000001</v>
      </c>
      <c r="AK25">
        <v>73.796639999999996</v>
      </c>
      <c r="AL25">
        <v>62.515230000000003</v>
      </c>
      <c r="AM25">
        <v>98.513300000000001</v>
      </c>
      <c r="AN25">
        <v>98.637169999999998</v>
      </c>
      <c r="AO25">
        <v>96.675790000000006</v>
      </c>
      <c r="AP25">
        <v>99.220870000000005</v>
      </c>
      <c r="AQ25">
        <v>99.605879999999999</v>
      </c>
      <c r="AR25">
        <v>99.32535</v>
      </c>
      <c r="AS25">
        <v>97.793719999999993</v>
      </c>
      <c r="AT25">
        <v>97.359660000000005</v>
      </c>
      <c r="AU25">
        <v>99.170869999999994</v>
      </c>
      <c r="AV25">
        <v>97.232290000000006</v>
      </c>
      <c r="AW25">
        <v>98.737219999999994</v>
      </c>
      <c r="AX25">
        <v>99.119730000000004</v>
      </c>
      <c r="AY25">
        <v>99.018450000000001</v>
      </c>
      <c r="AZ25">
        <v>99.326710000000006</v>
      </c>
      <c r="BA25">
        <v>98.061959999999999</v>
      </c>
      <c r="BB25">
        <v>97.824590000000001</v>
      </c>
      <c r="BC25">
        <v>99.34836</v>
      </c>
      <c r="BD25">
        <v>96.773319999999998</v>
      </c>
      <c r="BE25">
        <v>99.411739999999995</v>
      </c>
      <c r="BF25">
        <v>99.432429999999997</v>
      </c>
      <c r="BG25">
        <v>99.483919999999998</v>
      </c>
      <c r="BH25">
        <v>99.461309999999997</v>
      </c>
      <c r="BI25">
        <v>99.927750000000003</v>
      </c>
      <c r="BJ25">
        <v>99.594480000000004</v>
      </c>
      <c r="BK25">
        <v>98.782229999999998</v>
      </c>
      <c r="BL25">
        <v>99.542850000000001</v>
      </c>
      <c r="BM25">
        <v>99.694469999999995</v>
      </c>
      <c r="BN25">
        <v>95.293239999999997</v>
      </c>
      <c r="BO25">
        <v>97.412719999999993</v>
      </c>
      <c r="BP25">
        <v>96.683850000000007</v>
      </c>
      <c r="BQ25">
        <v>97.141329999999996</v>
      </c>
      <c r="BR25">
        <v>99.048630000000003</v>
      </c>
      <c r="BS25">
        <v>97.576679999999996</v>
      </c>
      <c r="BT25">
        <v>97.808049999999994</v>
      </c>
      <c r="BU25">
        <v>95.589960000000005</v>
      </c>
      <c r="BV25">
        <v>84.674930000000003</v>
      </c>
      <c r="BW25">
        <v>78.412840000000003</v>
      </c>
      <c r="BX25">
        <v>75.999920000000003</v>
      </c>
      <c r="BY25">
        <v>65.542429999999996</v>
      </c>
      <c r="BZ25">
        <v>73.091189999999997</v>
      </c>
      <c r="CA25">
        <v>89.592230000000001</v>
      </c>
      <c r="CB25">
        <v>82.48415</v>
      </c>
      <c r="CC25">
        <v>57.934130000000003</v>
      </c>
      <c r="CD25">
        <v>65.696839999999995</v>
      </c>
      <c r="CE25">
        <v>61.201990000000002</v>
      </c>
      <c r="CF25">
        <v>93.20223</v>
      </c>
      <c r="CG25">
        <v>92.415859999999995</v>
      </c>
      <c r="CH25">
        <v>94.735240000000005</v>
      </c>
      <c r="CI25">
        <v>92.559619999999995</v>
      </c>
      <c r="CJ25">
        <v>98.84478</v>
      </c>
      <c r="CK25">
        <v>91.688220000000001</v>
      </c>
      <c r="CL25">
        <v>94.399169999999998</v>
      </c>
      <c r="CM25">
        <v>95.024990000000003</v>
      </c>
      <c r="CN25">
        <v>90.216890000000006</v>
      </c>
      <c r="CO25">
        <v>99.160629999999998</v>
      </c>
      <c r="CP25">
        <v>99.263409999999993</v>
      </c>
      <c r="CQ25">
        <v>99.207890000000006</v>
      </c>
      <c r="CR25">
        <v>99.307040000000001</v>
      </c>
      <c r="CS25">
        <v>99.958200000000005</v>
      </c>
      <c r="CT25">
        <v>99.300479999999993</v>
      </c>
      <c r="CU25">
        <v>98.332049999999995</v>
      </c>
      <c r="CV25">
        <v>99.654300000000006</v>
      </c>
      <c r="CW25">
        <v>98.567310000000006</v>
      </c>
      <c r="CX25">
        <v>92.270740000000004</v>
      </c>
      <c r="CY25">
        <v>99.220320000000001</v>
      </c>
      <c r="CZ25">
        <v>99.371930000000006</v>
      </c>
      <c r="DA25">
        <v>98.846969999999999</v>
      </c>
      <c r="DB25">
        <v>99.801400000000001</v>
      </c>
      <c r="DC25">
        <v>99.761930000000007</v>
      </c>
      <c r="DD25">
        <v>98.680340000000001</v>
      </c>
      <c r="DE25">
        <v>99.230149999999995</v>
      </c>
      <c r="DF25">
        <v>98.481409999999997</v>
      </c>
    </row>
    <row r="26" spans="1:110" x14ac:dyDescent="0.2">
      <c r="A26" s="1">
        <v>45367.526388888888</v>
      </c>
      <c r="B26">
        <v>68</v>
      </c>
      <c r="C26">
        <v>57.082940000000001</v>
      </c>
      <c r="D26">
        <v>75.952380000000005</v>
      </c>
      <c r="E26">
        <v>80.094719999999995</v>
      </c>
      <c r="F26">
        <v>73.927539999999993</v>
      </c>
      <c r="G26">
        <v>94.636629999999997</v>
      </c>
      <c r="H26">
        <v>91.474059999999994</v>
      </c>
      <c r="I26">
        <v>90.970269999999999</v>
      </c>
      <c r="J26">
        <v>93.195059999999998</v>
      </c>
      <c r="K26">
        <v>80.668009999999995</v>
      </c>
      <c r="L26">
        <v>52.312539999999998</v>
      </c>
      <c r="M26">
        <v>62.830919999999999</v>
      </c>
      <c r="N26">
        <v>82.403099999999995</v>
      </c>
      <c r="O26">
        <v>68.255430000000004</v>
      </c>
      <c r="P26">
        <v>86.627780000000001</v>
      </c>
      <c r="Q26">
        <v>80.387690000000006</v>
      </c>
      <c r="R26">
        <v>71.419910000000002</v>
      </c>
      <c r="S26">
        <v>68.711489999999998</v>
      </c>
      <c r="T26">
        <v>70.078800000000001</v>
      </c>
      <c r="U26">
        <v>92.468100000000007</v>
      </c>
      <c r="V26">
        <v>94.995900000000006</v>
      </c>
      <c r="W26">
        <v>94.341470000000001</v>
      </c>
      <c r="X26">
        <v>96.410960000000003</v>
      </c>
      <c r="Y26">
        <v>99.382440000000003</v>
      </c>
      <c r="Z26">
        <v>95.570909999999998</v>
      </c>
      <c r="AA26">
        <v>96.353660000000005</v>
      </c>
      <c r="AB26">
        <v>95.240380000000002</v>
      </c>
      <c r="AC26">
        <v>96.953460000000007</v>
      </c>
      <c r="AD26">
        <v>79.448750000000004</v>
      </c>
      <c r="AE26">
        <v>77.484350000000006</v>
      </c>
      <c r="AF26">
        <v>88.136539999999997</v>
      </c>
      <c r="AG26">
        <v>86.259219999999999</v>
      </c>
      <c r="AH26">
        <v>97.449659999999994</v>
      </c>
      <c r="AI26">
        <v>92.109369999999998</v>
      </c>
      <c r="AJ26">
        <v>89.121639999999999</v>
      </c>
      <c r="AK26">
        <v>80.124499999999998</v>
      </c>
      <c r="AL26">
        <v>68.561719999999994</v>
      </c>
      <c r="AM26">
        <v>97.888840000000002</v>
      </c>
      <c r="AN26">
        <v>98.532359999999997</v>
      </c>
      <c r="AO26">
        <v>97.146249999999995</v>
      </c>
      <c r="AP26">
        <v>98.98048</v>
      </c>
      <c r="AQ26">
        <v>99.634159999999994</v>
      </c>
      <c r="AR26">
        <v>99.327799999999996</v>
      </c>
      <c r="AS26">
        <v>97.66704</v>
      </c>
      <c r="AT26">
        <v>98.684430000000006</v>
      </c>
      <c r="AU26">
        <v>99.297550000000001</v>
      </c>
      <c r="AV26">
        <v>97.894710000000003</v>
      </c>
      <c r="AW26">
        <v>98.88288</v>
      </c>
      <c r="AX26">
        <v>98.799430000000001</v>
      </c>
      <c r="AY26">
        <v>99.090630000000004</v>
      </c>
      <c r="AZ26">
        <v>99.577129999999997</v>
      </c>
      <c r="BA26">
        <v>98.608360000000005</v>
      </c>
      <c r="BB26">
        <v>98.471369999999993</v>
      </c>
      <c r="BC26">
        <v>99.33587</v>
      </c>
      <c r="BD26">
        <v>97.837770000000006</v>
      </c>
      <c r="BE26">
        <v>98.892920000000004</v>
      </c>
      <c r="BF26">
        <v>99.577129999999997</v>
      </c>
      <c r="BG26">
        <v>98.785169999999994</v>
      </c>
      <c r="BH26">
        <v>99.251940000000005</v>
      </c>
      <c r="BI26">
        <v>99.952330000000003</v>
      </c>
      <c r="BJ26">
        <v>99.319879999999998</v>
      </c>
      <c r="BK26">
        <v>99.60445</v>
      </c>
      <c r="BL26">
        <v>99.475589999999997</v>
      </c>
      <c r="BM26">
        <v>99.305880000000002</v>
      </c>
      <c r="BN26">
        <v>96.36712</v>
      </c>
      <c r="BO26">
        <v>98.165289999999999</v>
      </c>
      <c r="BP26">
        <v>97.900729999999996</v>
      </c>
      <c r="BQ26">
        <v>97.051460000000006</v>
      </c>
      <c r="BR26">
        <v>98.865610000000004</v>
      </c>
      <c r="BS26">
        <v>98.138980000000004</v>
      </c>
      <c r="BT26">
        <v>98.331429999999997</v>
      </c>
      <c r="BU26">
        <v>94.204679999999996</v>
      </c>
      <c r="BV26">
        <v>90.194149999999993</v>
      </c>
      <c r="BW26">
        <v>82.777320000000003</v>
      </c>
      <c r="BX26">
        <v>79.6905</v>
      </c>
      <c r="BY26">
        <v>65.961939999999998</v>
      </c>
      <c r="BZ26">
        <v>71.308040000000005</v>
      </c>
      <c r="CA26">
        <v>91.740120000000005</v>
      </c>
      <c r="CB26">
        <v>83.590940000000003</v>
      </c>
      <c r="CC26">
        <v>61.24973</v>
      </c>
      <c r="CD26">
        <v>68.138990000000007</v>
      </c>
      <c r="CE26">
        <v>62.675579999999997</v>
      </c>
      <c r="CF26">
        <v>92.433959999999999</v>
      </c>
      <c r="CG26">
        <v>93.790570000000002</v>
      </c>
      <c r="CH26">
        <v>94.847149999999999</v>
      </c>
      <c r="CI26">
        <v>94.256230000000002</v>
      </c>
      <c r="CJ26">
        <v>98.840209999999999</v>
      </c>
      <c r="CK26">
        <v>93.165710000000004</v>
      </c>
      <c r="CL26">
        <v>94.909450000000007</v>
      </c>
      <c r="CM26">
        <v>93.033619999999999</v>
      </c>
      <c r="CN26">
        <v>89.793409999999994</v>
      </c>
      <c r="CO26">
        <v>98.928229999999999</v>
      </c>
      <c r="CP26">
        <v>99.364879999999999</v>
      </c>
      <c r="CQ26">
        <v>99.489919999999998</v>
      </c>
      <c r="CR26">
        <v>99.456460000000007</v>
      </c>
      <c r="CS26">
        <v>99.943920000000006</v>
      </c>
      <c r="CT26">
        <v>98.912800000000004</v>
      </c>
      <c r="CU26">
        <v>98.584379999999996</v>
      </c>
      <c r="CV26">
        <v>99.603759999999994</v>
      </c>
      <c r="CW26">
        <v>98.858990000000006</v>
      </c>
      <c r="CX26">
        <v>94.987430000000003</v>
      </c>
      <c r="CY26">
        <v>98.701449999999994</v>
      </c>
      <c r="CZ26">
        <v>99.468419999999995</v>
      </c>
      <c r="DA26">
        <v>99.064480000000003</v>
      </c>
      <c r="DB26">
        <v>99.815669999999997</v>
      </c>
      <c r="DC26">
        <v>99.770259999999993</v>
      </c>
      <c r="DD26">
        <v>98.975139999999996</v>
      </c>
      <c r="DE26">
        <v>98.81071</v>
      </c>
      <c r="DF26">
        <v>98.127120000000005</v>
      </c>
    </row>
    <row r="27" spans="1:110" x14ac:dyDescent="0.2">
      <c r="A27" s="1">
        <v>45367.693055555559</v>
      </c>
      <c r="B27">
        <v>72</v>
      </c>
      <c r="C27">
        <v>78.394540000000006</v>
      </c>
      <c r="D27">
        <v>91.920680000000004</v>
      </c>
      <c r="E27">
        <v>92.085750000000004</v>
      </c>
      <c r="F27">
        <v>88.786259999999999</v>
      </c>
      <c r="G27">
        <v>99.198390000000003</v>
      </c>
      <c r="H27">
        <v>98.050489999999996</v>
      </c>
      <c r="I27">
        <v>97.349620000000002</v>
      </c>
      <c r="J27">
        <v>98.366</v>
      </c>
      <c r="K27">
        <v>94.619190000000003</v>
      </c>
      <c r="L27">
        <v>86.374290000000002</v>
      </c>
      <c r="M27">
        <v>91.083839999999995</v>
      </c>
      <c r="N27">
        <v>96.698939999999993</v>
      </c>
      <c r="O27">
        <v>91.940690000000004</v>
      </c>
      <c r="P27">
        <v>98.31662</v>
      </c>
      <c r="Q27">
        <v>96.515510000000006</v>
      </c>
      <c r="R27">
        <v>93.456410000000005</v>
      </c>
      <c r="S27">
        <v>94.415220000000005</v>
      </c>
      <c r="T27">
        <v>92.572180000000003</v>
      </c>
      <c r="U27">
        <v>98.41386</v>
      </c>
      <c r="V27">
        <v>99.311549999999997</v>
      </c>
      <c r="W27">
        <v>98.508039999999994</v>
      </c>
      <c r="X27">
        <v>99.510279999999995</v>
      </c>
      <c r="Y27">
        <v>99.975399999999993</v>
      </c>
      <c r="Z27">
        <v>99.529949999999999</v>
      </c>
      <c r="AA27">
        <v>99.63306</v>
      </c>
      <c r="AB27">
        <v>99.272220000000004</v>
      </c>
      <c r="AC27">
        <v>99.598029999999994</v>
      </c>
      <c r="AD27">
        <v>94.533910000000006</v>
      </c>
      <c r="AE27">
        <v>94.963120000000004</v>
      </c>
      <c r="AF27">
        <v>95.900149999999996</v>
      </c>
      <c r="AG27">
        <v>96.186009999999996</v>
      </c>
      <c r="AH27">
        <v>99.772589999999994</v>
      </c>
      <c r="AI27">
        <v>98.598590000000002</v>
      </c>
      <c r="AJ27">
        <v>98.449299999999994</v>
      </c>
      <c r="AK27">
        <v>95.316860000000005</v>
      </c>
      <c r="AL27">
        <v>87.170770000000005</v>
      </c>
      <c r="AM27">
        <v>99.922150000000002</v>
      </c>
      <c r="AN27">
        <v>99.922749999999994</v>
      </c>
      <c r="AO27">
        <v>99.737830000000002</v>
      </c>
      <c r="AP27">
        <v>99.861710000000002</v>
      </c>
      <c r="AQ27">
        <v>99.979920000000007</v>
      </c>
      <c r="AR27">
        <v>99.938739999999996</v>
      </c>
      <c r="AS27">
        <v>99.881789999999995</v>
      </c>
      <c r="AT27">
        <v>99.772450000000006</v>
      </c>
      <c r="AU27">
        <v>99.983400000000003</v>
      </c>
      <c r="AV27">
        <v>99.78331</v>
      </c>
      <c r="AW27">
        <v>99.939019999999999</v>
      </c>
      <c r="AX27">
        <v>99.95711</v>
      </c>
      <c r="AY27">
        <v>99.910539999999997</v>
      </c>
      <c r="AZ27">
        <v>99.956090000000003</v>
      </c>
      <c r="BA27">
        <v>99.889690000000002</v>
      </c>
      <c r="BB27">
        <v>99.856170000000006</v>
      </c>
      <c r="BC27">
        <v>99.902209999999997</v>
      </c>
      <c r="BD27">
        <v>99.836359999999999</v>
      </c>
      <c r="BE27">
        <v>99.992959999999997</v>
      </c>
      <c r="BF27">
        <v>99.924610000000001</v>
      </c>
      <c r="BG27">
        <v>99.927189999999996</v>
      </c>
      <c r="BH27">
        <v>99.989000000000004</v>
      </c>
      <c r="BI27">
        <v>100</v>
      </c>
      <c r="BJ27">
        <v>99.946719999999999</v>
      </c>
      <c r="BK27">
        <v>99.980930000000001</v>
      </c>
      <c r="BL27">
        <v>99.978899999999996</v>
      </c>
      <c r="BM27">
        <v>99.987009999999998</v>
      </c>
      <c r="BN27">
        <v>99.660250000000005</v>
      </c>
      <c r="BO27">
        <v>99.924059999999997</v>
      </c>
      <c r="BP27">
        <v>99.90016</v>
      </c>
      <c r="BQ27">
        <v>99.80086</v>
      </c>
      <c r="BR27">
        <v>99.97569</v>
      </c>
      <c r="BS27">
        <v>99.672880000000006</v>
      </c>
      <c r="BT27">
        <v>99.833290000000005</v>
      </c>
      <c r="BU27">
        <v>99.717820000000003</v>
      </c>
      <c r="BV27">
        <v>98.419120000000007</v>
      </c>
      <c r="BW27">
        <v>97.348590000000002</v>
      </c>
      <c r="BX27">
        <v>95.260930000000002</v>
      </c>
      <c r="BY27">
        <v>90.052989999999994</v>
      </c>
      <c r="BZ27">
        <v>94.131810000000002</v>
      </c>
      <c r="CA27">
        <v>99.056560000000005</v>
      </c>
      <c r="CB27">
        <v>96.976900000000001</v>
      </c>
      <c r="CC27">
        <v>87.972700000000003</v>
      </c>
      <c r="CD27">
        <v>91.541730000000001</v>
      </c>
      <c r="CE27">
        <v>89.698899999999995</v>
      </c>
      <c r="CF27">
        <v>99.323509999999999</v>
      </c>
      <c r="CG27">
        <v>99.294560000000004</v>
      </c>
      <c r="CH27">
        <v>99.38203</v>
      </c>
      <c r="CI27">
        <v>99.499960000000002</v>
      </c>
      <c r="CJ27">
        <v>99.988590000000002</v>
      </c>
      <c r="CK27">
        <v>99.439400000000006</v>
      </c>
      <c r="CL27">
        <v>99.635040000000004</v>
      </c>
      <c r="CM27">
        <v>99.417060000000006</v>
      </c>
      <c r="CN27">
        <v>99.116579999999999</v>
      </c>
      <c r="CO27">
        <v>99.979770000000002</v>
      </c>
      <c r="CP27">
        <v>99.993570000000005</v>
      </c>
      <c r="CQ27">
        <v>99.990089999999995</v>
      </c>
      <c r="CR27">
        <v>99.968860000000006</v>
      </c>
      <c r="CS27">
        <v>99.993229999999997</v>
      </c>
      <c r="CT27">
        <v>99.983670000000004</v>
      </c>
      <c r="CU27">
        <v>99.924940000000007</v>
      </c>
      <c r="CV27">
        <v>99.997669999999999</v>
      </c>
      <c r="CW27">
        <v>99.959220000000002</v>
      </c>
      <c r="CX27">
        <v>99.721019999999996</v>
      </c>
      <c r="CY27">
        <v>99.988039999999998</v>
      </c>
      <c r="CZ27">
        <v>99.961619999999996</v>
      </c>
      <c r="DA27">
        <v>99.978489999999994</v>
      </c>
      <c r="DB27">
        <v>99.993229999999997</v>
      </c>
      <c r="DC27">
        <v>100</v>
      </c>
      <c r="DD27">
        <v>99.985169999999997</v>
      </c>
      <c r="DE27">
        <v>99.998570000000001</v>
      </c>
      <c r="DF27">
        <v>99.927130000000005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B02D-CDE1-0B43-9E3F-014521F8489D}">
  <dimension ref="A1:CY20"/>
  <sheetViews>
    <sheetView workbookViewId="0">
      <pane xSplit="3" topLeftCell="D1" activePane="topRight" state="frozen"/>
      <selection pane="topRight" activeCell="T18" sqref="T18"/>
    </sheetView>
  </sheetViews>
  <sheetFormatPr baseColWidth="10" defaultRowHeight="16" x14ac:dyDescent="0.2"/>
  <cols>
    <col min="1" max="1" width="9.83203125" style="3" bestFit="1" customWidth="1"/>
    <col min="2" max="2" width="22.33203125" style="3" bestFit="1" customWidth="1"/>
    <col min="3" max="3" width="8.83203125" style="3" bestFit="1" customWidth="1"/>
    <col min="4" max="4" width="14.1640625" style="3" bestFit="1" customWidth="1"/>
    <col min="5" max="67" width="10.5" style="3" bestFit="1" customWidth="1"/>
    <col min="68" max="85" width="10.6640625" style="3" bestFit="1" customWidth="1"/>
    <col min="86" max="103" width="10.5" style="3" bestFit="1" customWidth="1"/>
    <col min="104" max="16384" width="10.83203125" style="3"/>
  </cols>
  <sheetData>
    <row r="1" spans="1:103" s="2" customFormat="1" ht="68" x14ac:dyDescent="0.2">
      <c r="A1" s="2" t="s">
        <v>118</v>
      </c>
      <c r="B1" s="2" t="s">
        <v>116</v>
      </c>
      <c r="C1" s="2" t="s">
        <v>7</v>
      </c>
      <c r="D1" s="2" t="s">
        <v>119</v>
      </c>
      <c r="E1" s="2" t="s">
        <v>120</v>
      </c>
      <c r="N1" s="2" t="s">
        <v>196</v>
      </c>
      <c r="W1" s="2" t="s">
        <v>121</v>
      </c>
      <c r="X1" s="2" t="s">
        <v>122</v>
      </c>
      <c r="Y1" s="2" t="s">
        <v>123</v>
      </c>
      <c r="Z1" s="2" t="s">
        <v>124</v>
      </c>
      <c r="AA1" s="2" t="s">
        <v>125</v>
      </c>
      <c r="AB1" s="2" t="s">
        <v>126</v>
      </c>
      <c r="AC1" s="2" t="s">
        <v>127</v>
      </c>
      <c r="AD1" s="2" t="s">
        <v>128</v>
      </c>
      <c r="AE1" s="2" t="s">
        <v>129</v>
      </c>
      <c r="AF1" s="2" t="s">
        <v>130</v>
      </c>
      <c r="AG1" s="2" t="s">
        <v>131</v>
      </c>
      <c r="AH1" s="2" t="s">
        <v>132</v>
      </c>
      <c r="AI1" s="2" t="s">
        <v>133</v>
      </c>
      <c r="AJ1" s="2" t="s">
        <v>134</v>
      </c>
      <c r="AK1" s="2" t="s">
        <v>135</v>
      </c>
      <c r="AL1" s="2" t="s">
        <v>136</v>
      </c>
      <c r="AM1" s="2" t="s">
        <v>137</v>
      </c>
      <c r="AN1" s="2" t="s">
        <v>138</v>
      </c>
      <c r="AO1" s="2" t="s">
        <v>139</v>
      </c>
      <c r="AP1" s="2" t="s">
        <v>140</v>
      </c>
      <c r="AQ1" s="2" t="s">
        <v>141</v>
      </c>
      <c r="AR1" s="2" t="s">
        <v>142</v>
      </c>
      <c r="AS1" s="2" t="s">
        <v>143</v>
      </c>
      <c r="AT1" s="2" t="s">
        <v>144</v>
      </c>
      <c r="AU1" s="2" t="s">
        <v>145</v>
      </c>
      <c r="AV1" s="2" t="s">
        <v>146</v>
      </c>
      <c r="AW1" s="2" t="s">
        <v>147</v>
      </c>
      <c r="AX1" s="2" t="s">
        <v>148</v>
      </c>
      <c r="AY1" s="2" t="s">
        <v>149</v>
      </c>
      <c r="AZ1" s="2" t="s">
        <v>150</v>
      </c>
      <c r="BA1" s="2" t="s">
        <v>151</v>
      </c>
      <c r="BB1" s="2" t="s">
        <v>152</v>
      </c>
      <c r="BC1" s="2" t="s">
        <v>153</v>
      </c>
      <c r="BD1" s="2" t="s">
        <v>154</v>
      </c>
      <c r="BE1" s="2" t="s">
        <v>155</v>
      </c>
      <c r="BF1" s="2" t="s">
        <v>156</v>
      </c>
      <c r="BG1" s="2" t="s">
        <v>157</v>
      </c>
      <c r="BH1" s="2" t="s">
        <v>158</v>
      </c>
      <c r="BI1" s="2" t="s">
        <v>159</v>
      </c>
      <c r="BJ1" s="2" t="s">
        <v>160</v>
      </c>
      <c r="BK1" s="2" t="s">
        <v>161</v>
      </c>
      <c r="BL1" s="2" t="s">
        <v>162</v>
      </c>
      <c r="BM1" s="2" t="s">
        <v>163</v>
      </c>
      <c r="BN1" s="2" t="s">
        <v>164</v>
      </c>
      <c r="BO1" s="2" t="s">
        <v>165</v>
      </c>
      <c r="BP1" s="2" t="s">
        <v>80</v>
      </c>
      <c r="BQ1" s="2" t="s">
        <v>81</v>
      </c>
      <c r="BR1" s="2" t="s">
        <v>82</v>
      </c>
      <c r="BS1" s="2" t="s">
        <v>83</v>
      </c>
      <c r="BT1" s="2" t="s">
        <v>84</v>
      </c>
      <c r="BU1" s="2" t="s">
        <v>85</v>
      </c>
      <c r="BV1" s="2" t="s">
        <v>86</v>
      </c>
      <c r="BW1" s="2" t="s">
        <v>87</v>
      </c>
      <c r="BX1" s="2" t="s">
        <v>88</v>
      </c>
      <c r="BY1" s="2" t="s">
        <v>89</v>
      </c>
      <c r="BZ1" s="2" t="s">
        <v>90</v>
      </c>
      <c r="CA1" s="2" t="s">
        <v>91</v>
      </c>
      <c r="CB1" s="2" t="s">
        <v>92</v>
      </c>
      <c r="CC1" s="2" t="s">
        <v>93</v>
      </c>
      <c r="CD1" s="2" t="s">
        <v>94</v>
      </c>
      <c r="CE1" s="2" t="s">
        <v>95</v>
      </c>
      <c r="CF1" s="2" t="s">
        <v>96</v>
      </c>
      <c r="CG1" s="2" t="s">
        <v>97</v>
      </c>
      <c r="CH1" s="2" t="s">
        <v>166</v>
      </c>
      <c r="CI1" s="2" t="s">
        <v>167</v>
      </c>
      <c r="CJ1" s="2" t="s">
        <v>168</v>
      </c>
      <c r="CK1" s="2" t="s">
        <v>169</v>
      </c>
      <c r="CL1" s="2" t="s">
        <v>170</v>
      </c>
      <c r="CM1" s="2" t="s">
        <v>171</v>
      </c>
      <c r="CN1" s="2" t="s">
        <v>172</v>
      </c>
      <c r="CO1" s="2" t="s">
        <v>173</v>
      </c>
      <c r="CP1" s="2" t="s">
        <v>174</v>
      </c>
      <c r="CQ1" s="2" t="s">
        <v>175</v>
      </c>
      <c r="CR1" s="2" t="s">
        <v>176</v>
      </c>
      <c r="CS1" s="2" t="s">
        <v>177</v>
      </c>
      <c r="CT1" s="2" t="s">
        <v>178</v>
      </c>
      <c r="CU1" s="2" t="s">
        <v>179</v>
      </c>
      <c r="CV1" s="2" t="s">
        <v>180</v>
      </c>
      <c r="CW1" s="2" t="s">
        <v>181</v>
      </c>
      <c r="CX1" s="2" t="s">
        <v>182</v>
      </c>
      <c r="CY1" s="2" t="s">
        <v>183</v>
      </c>
    </row>
    <row r="2" spans="1:103" x14ac:dyDescent="0.2">
      <c r="A2" s="3">
        <v>1</v>
      </c>
      <c r="B2" s="4" t="s">
        <v>117</v>
      </c>
      <c r="C2" s="3">
        <v>0</v>
      </c>
      <c r="D2" s="3">
        <f>AVERAGE(Reformatted!D2:L2)</f>
        <v>24.532477777777778</v>
      </c>
      <c r="E2" s="3">
        <f>AVERAGE(Reformatted!M2:U2)</f>
        <v>25.00189111111111</v>
      </c>
      <c r="F2" s="3">
        <f>AVERAGE(Reformatted!N2:V2)</f>
        <v>25.382765555555554</v>
      </c>
      <c r="G2" s="3">
        <f>AVERAGE(Reformatted!O2:W2)</f>
        <v>26.046394444444445</v>
      </c>
      <c r="H2" s="3">
        <f>AVERAGE(Reformatted!P2:X2)</f>
        <v>26.158239999999999</v>
      </c>
      <c r="I2" s="3">
        <f>AVERAGE(Reformatted!Q2:Y2)</f>
        <v>26.897035555555554</v>
      </c>
      <c r="J2" s="3">
        <f>AVERAGE(Reformatted!R2:Z2)</f>
        <v>29.431048888888888</v>
      </c>
      <c r="K2" s="3">
        <f>AVERAGE(Reformatted!S2:AA2)</f>
        <v>30.047518888888888</v>
      </c>
      <c r="L2" s="3">
        <f>AVERAGE(Reformatted!T2:AB2)</f>
        <v>29.939306666666667</v>
      </c>
      <c r="M2" s="3">
        <f>AVERAGE(Reformatted!U2:AC2)</f>
        <v>30.476643333333332</v>
      </c>
      <c r="N2" s="3">
        <f>AVERAGE(Reformatted!V2:AD2)</f>
        <v>31.362636666666667</v>
      </c>
      <c r="W2" s="3">
        <f>AVERAGE(Reformatted!AE2:AM2)</f>
        <v>17.056462555555555</v>
      </c>
      <c r="X2" s="3">
        <f>AVERAGE(Reformatted!AF2:AN2)</f>
        <v>17.618634777777775</v>
      </c>
      <c r="Y2" s="3">
        <f>AVERAGE(Reformatted!AG2:AO2)</f>
        <v>18.365655888888888</v>
      </c>
      <c r="Z2" s="3">
        <f>AVERAGE(Reformatted!AH2:AP2)</f>
        <v>19.102774777777775</v>
      </c>
      <c r="AA2" s="3">
        <f>AVERAGE(Reformatted!AI2:AQ2)</f>
        <v>20.400640333333328</v>
      </c>
      <c r="AB2" s="3">
        <f>AVERAGE(Reformatted!AJ2:AR2)</f>
        <v>20.557118111111109</v>
      </c>
      <c r="AC2" s="3">
        <f>AVERAGE(Reformatted!AK2:AS2)</f>
        <v>21.661513666666664</v>
      </c>
      <c r="AD2" s="3">
        <f>AVERAGE(Reformatted!AL2:AT2)</f>
        <v>22.176793666666665</v>
      </c>
      <c r="AE2" s="3">
        <f>AVERAGE(Reformatted!AM2:AU2)</f>
        <v>23.315441444444442</v>
      </c>
      <c r="AF2" s="3">
        <f>AVERAGE(Reformatted!AN2:AV2)</f>
        <v>25.69150888888889</v>
      </c>
      <c r="AG2" s="3">
        <f>AVERAGE(Reformatted!AO2:AW2)</f>
        <v>26.223815555555557</v>
      </c>
      <c r="AH2" s="3">
        <f>AVERAGE(Reformatted!AP2:AX2)</f>
        <v>26.558555555555557</v>
      </c>
      <c r="AI2" s="3">
        <f>AVERAGE(Reformatted!AQ2:AY2)</f>
        <v>26.687799999999999</v>
      </c>
      <c r="AJ2" s="3">
        <f>AVERAGE(Reformatted!AR2:AZ2)</f>
        <v>25.94631</v>
      </c>
      <c r="AK2" s="3">
        <f>AVERAGE(Reformatted!AS2:BA2)</f>
        <v>24.802722222222222</v>
      </c>
      <c r="AL2" s="3">
        <f>AVERAGE(Reformatted!AT2:BB2)</f>
        <v>23.679865555555558</v>
      </c>
      <c r="AM2" s="3">
        <f>AVERAGE(Reformatted!AU2:BC2)</f>
        <v>23.436931111111114</v>
      </c>
      <c r="AN2" s="3">
        <f>AVERAGE(Reformatted!AV2:BD2)</f>
        <v>22.739930000000001</v>
      </c>
      <c r="AO2" s="3">
        <f>AVERAGE(Reformatted!AW2:BE2)</f>
        <v>21.008825555555557</v>
      </c>
      <c r="AP2" s="3">
        <f>AVERAGE(Reformatted!AX2:BF2)</f>
        <v>21.052037777777777</v>
      </c>
      <c r="AQ2" s="3">
        <f>AVERAGE(Reformatted!AY2:BG2)</f>
        <v>21.612434444444446</v>
      </c>
      <c r="AR2" s="3">
        <f>AVERAGE(Reformatted!AZ2:BH2)</f>
        <v>21.580914444444446</v>
      </c>
      <c r="AS2" s="3">
        <f>AVERAGE(Reformatted!BA2:BI2)</f>
        <v>22.329354444444444</v>
      </c>
      <c r="AT2" s="3">
        <f>AVERAGE(Reformatted!BB2:BJ2)</f>
        <v>24.408339999999999</v>
      </c>
      <c r="AU2" s="3">
        <f>AVERAGE(Reformatted!BC2:BK2)</f>
        <v>25.530362222222223</v>
      </c>
      <c r="AV2" s="3">
        <f>AVERAGE(Reformatted!BD2:BL2)</f>
        <v>26.334671111111113</v>
      </c>
      <c r="AW2" s="3">
        <f>AVERAGE(Reformatted!BE2:BM2)</f>
        <v>27.434733333333334</v>
      </c>
      <c r="AX2" s="3">
        <f>AVERAGE(Reformatted!BF2:BN2)</f>
        <v>28.919465555555558</v>
      </c>
      <c r="AY2" s="3">
        <f>AVERAGE(Reformatted!BG2:BO2)</f>
        <v>27.688853333333334</v>
      </c>
      <c r="AZ2" s="3">
        <f>AVERAGE(Reformatted!BH2:BP2)</f>
        <v>26.149678888888889</v>
      </c>
      <c r="BA2" s="3">
        <f>AVERAGE(Reformatted!BI2:BQ2)</f>
        <v>25.173511111111115</v>
      </c>
      <c r="BB2" s="3">
        <f>AVERAGE(Reformatted!BJ2:BR2)</f>
        <v>23.975138888888893</v>
      </c>
      <c r="BC2" s="3">
        <f>AVERAGE(Reformatted!BK2:BS2)</f>
        <v>21.494768888888888</v>
      </c>
      <c r="BD2" s="3">
        <f>AVERAGE(Reformatted!BL2:BT2)</f>
        <v>19.753103333333332</v>
      </c>
      <c r="BE2" s="3">
        <f>AVERAGE(Reformatted!BM2:BU2)</f>
        <v>18.405273333333334</v>
      </c>
      <c r="BF2" s="3">
        <f>AVERAGE(Reformatted!BN2:BV2)</f>
        <v>16.77156888888889</v>
      </c>
      <c r="BG2" s="3">
        <f>AVERAGE(Reformatted!BO2:BW2)</f>
        <v>14.613456666666666</v>
      </c>
      <c r="BH2" s="3">
        <f>AVERAGE(Reformatted!BP2:BX2)</f>
        <v>15.889741111111114</v>
      </c>
      <c r="BI2" s="3">
        <f>AVERAGE(Reformatted!BQ2:BY2)</f>
        <v>17.083574444444444</v>
      </c>
      <c r="BJ2" s="3">
        <f>AVERAGE(Reformatted!BR2:BZ2)</f>
        <v>17.966099999999997</v>
      </c>
      <c r="BK2" s="3">
        <f>AVERAGE(Reformatted!BS2:CA2)</f>
        <v>17.851811111111115</v>
      </c>
      <c r="BL2" s="3">
        <f>AVERAGE(Reformatted!BT2:CB2)</f>
        <v>19.68389333333333</v>
      </c>
      <c r="BM2" s="3">
        <f>AVERAGE(Reformatted!BU2:CC2)</f>
        <v>20.807471111111109</v>
      </c>
      <c r="BN2" s="3">
        <f>AVERAGE(Reformatted!BV2:CD2)</f>
        <v>20.972416666666664</v>
      </c>
      <c r="BO2" s="3">
        <f>AVERAGE(Reformatted!BW2:CE2)</f>
        <v>22.279818888888894</v>
      </c>
      <c r="BP2" s="3">
        <f>AVERAGE(Reformatted!BX2:CF2)</f>
        <v>23.156472222222224</v>
      </c>
      <c r="BQ2" s="3">
        <f>AVERAGE(Reformatted!BY2:CG2)</f>
        <v>24.010301111111112</v>
      </c>
      <c r="BR2" s="3">
        <f>AVERAGE(Reformatted!BZ2:CH2)</f>
        <v>24.347674444444444</v>
      </c>
      <c r="BS2" s="3">
        <f>AVERAGE(Reformatted!CA2:CI2)</f>
        <v>24.960875555555557</v>
      </c>
      <c r="BT2" s="3">
        <f>AVERAGE(Reformatted!CB2:CJ2)</f>
        <v>26.684215555555554</v>
      </c>
      <c r="BU2" s="3">
        <f>AVERAGE(Reformatted!CC2:CK2)</f>
        <v>29.755972222222226</v>
      </c>
      <c r="BV2" s="3">
        <f>AVERAGE(Reformatted!CD2:CL2)</f>
        <v>30.500625555555555</v>
      </c>
      <c r="BW2" s="3">
        <f>AVERAGE(Reformatted!CE2:CM2)</f>
        <v>32.464274444444442</v>
      </c>
      <c r="BX2" s="3">
        <f>AVERAGE(Reformatted!CF2:CN2)</f>
        <v>32.6648</v>
      </c>
      <c r="BY2" s="3">
        <f>AVERAGE(Reformatted!CG2:CO2)</f>
        <v>33.292394444444447</v>
      </c>
      <c r="BZ2" s="3">
        <f>AVERAGE(Reformatted!CH2:CP2)</f>
        <v>32.583722222222221</v>
      </c>
      <c r="CA2" s="3">
        <f>AVERAGE(Reformatted!CI2:CQ2)</f>
        <v>32.566111111111105</v>
      </c>
      <c r="CB2" s="3">
        <f>AVERAGE(Reformatted!CJ2:CR2)</f>
        <v>32.701615555555556</v>
      </c>
      <c r="CC2" s="3">
        <f>AVERAGE(Reformatted!CK2:CS2)</f>
        <v>32.619537777777779</v>
      </c>
      <c r="CD2" s="3">
        <f>AVERAGE(Reformatted!CL2:CT2)</f>
        <v>29.798864444444444</v>
      </c>
      <c r="CE2" s="3">
        <f>AVERAGE(Reformatted!CM2:CU2)</f>
        <v>29.762844444444447</v>
      </c>
      <c r="CF2" s="3">
        <f>AVERAGE(Reformatted!CN2:CV2)</f>
        <v>28.581757777777778</v>
      </c>
      <c r="CG2" s="3">
        <f>AVERAGE(Reformatted!CO2:CW2)</f>
        <v>27.924221111111112</v>
      </c>
      <c r="CH2" s="3">
        <f>AVERAGE(Reformatted!CP2:CX2)</f>
        <v>27.404632222222222</v>
      </c>
      <c r="CI2" s="3">
        <f>AVERAGE(Reformatted!CQ2:CY2)</f>
        <v>26.617106666666668</v>
      </c>
      <c r="CJ2" s="3">
        <f>AVERAGE(Reformatted!CR2:CZ2)</f>
        <v>26.406124444444448</v>
      </c>
      <c r="CK2" s="3">
        <f>AVERAGE(Reformatted!CS2:DA2)</f>
        <v>26.981734444444442</v>
      </c>
      <c r="CL2" s="3">
        <f>AVERAGE(Reformatted!CT2:DB2)</f>
        <v>26.669341111111112</v>
      </c>
      <c r="CM2" s="3">
        <f>AVERAGE(Reformatted!CU2:DC2)</f>
        <v>25.681761111111111</v>
      </c>
      <c r="CN2" s="3">
        <f>AVERAGE(Reformatted!CV2:DD2)</f>
        <v>25.116896666666666</v>
      </c>
      <c r="CO2" s="3">
        <f>AVERAGE(Reformatted!CW2:DE2)</f>
        <v>25.355429999999998</v>
      </c>
      <c r="CP2" s="3">
        <f>AVERAGE(Reformatted!CX2:DF2)</f>
        <v>25.816130000000001</v>
      </c>
      <c r="CQ2" s="3">
        <f>AVERAGE(Reformatted!CY2:DG2)</f>
        <v>26.124973333333333</v>
      </c>
      <c r="CR2" s="3">
        <f>AVERAGE(Reformatted!CZ2:DH2)</f>
        <v>27.205954999999999</v>
      </c>
      <c r="CS2" s="3">
        <f>AVERAGE(Reformatted!DA2:DI2)</f>
        <v>27.603734285714285</v>
      </c>
      <c r="CT2" s="3">
        <f>AVERAGE(Reformatted!DB2:DJ2)</f>
        <v>26.566815000000002</v>
      </c>
      <c r="CU2" s="3">
        <f>AVERAGE(Reformatted!DC2:DK2)</f>
        <v>26.509971999999998</v>
      </c>
      <c r="CV2" s="3">
        <f>AVERAGE(Reformatted!DD2:DL2)</f>
        <v>24.181415000000001</v>
      </c>
      <c r="CW2" s="3">
        <f>AVERAGE(Reformatted!DE2:DM2)</f>
        <v>24.325810000000001</v>
      </c>
      <c r="CX2" s="3">
        <f>AVERAGE(Reformatted!DF2:DN2)</f>
        <v>23.044284999999999</v>
      </c>
      <c r="CY2" s="3">
        <f>AVERAGE(Reformatted!DG2:DO2)</f>
        <v>20.376629999999999</v>
      </c>
    </row>
    <row r="3" spans="1:103" x14ac:dyDescent="0.2">
      <c r="A3" s="3">
        <v>1</v>
      </c>
      <c r="B3" s="4" t="s">
        <v>117</v>
      </c>
      <c r="C3" s="3">
        <v>4</v>
      </c>
      <c r="D3" s="3">
        <f>AVERAGE(Reformatted!D3:L3)</f>
        <v>23.248932222222223</v>
      </c>
      <c r="E3" s="3">
        <f>AVERAGE(Reformatted!M3:U3)</f>
        <v>21.24704777777778</v>
      </c>
      <c r="N3" s="3">
        <f>AVERAGE(Reformatted!V3:AD3)</f>
        <v>38.455200000000005</v>
      </c>
      <c r="W3" s="3">
        <f>AVERAGE(Reformatted!AE3:AM3)</f>
        <v>15.938916777777775</v>
      </c>
      <c r="X3" s="3">
        <v>10.27009</v>
      </c>
      <c r="Y3" s="3">
        <v>14.12894</v>
      </c>
      <c r="Z3" s="3">
        <v>12.36232</v>
      </c>
      <c r="AA3" s="3">
        <v>40.115139999999997</v>
      </c>
      <c r="AB3" s="3">
        <v>16.269120000000001</v>
      </c>
      <c r="AC3" s="3">
        <v>17.138529999999999</v>
      </c>
      <c r="AD3" s="3">
        <v>13.660130000000001</v>
      </c>
      <c r="AE3" s="3">
        <v>8.4062210000000004</v>
      </c>
      <c r="AF3" s="3">
        <v>19.24333</v>
      </c>
      <c r="AG3" s="3">
        <v>19.17258</v>
      </c>
      <c r="AH3" s="3">
        <v>22.954270000000001</v>
      </c>
      <c r="AI3" s="3">
        <v>27.71696</v>
      </c>
      <c r="AJ3" s="3">
        <v>44.264780000000002</v>
      </c>
      <c r="AK3" s="3">
        <v>29.49635</v>
      </c>
      <c r="AL3" s="3">
        <v>22.32948</v>
      </c>
      <c r="AM3" s="3">
        <v>24.975819999999999</v>
      </c>
      <c r="AN3" s="3">
        <v>30.44594</v>
      </c>
      <c r="AO3" s="3">
        <v>21.582100000000001</v>
      </c>
      <c r="AP3" s="3">
        <v>21.098459999999999</v>
      </c>
      <c r="AQ3" s="3">
        <v>26.489429999999999</v>
      </c>
      <c r="AR3" s="3">
        <v>22.4636</v>
      </c>
      <c r="AS3" s="3">
        <v>36.633589999999998</v>
      </c>
      <c r="AT3" s="3">
        <v>19.315449999999998</v>
      </c>
      <c r="AU3" s="3">
        <v>21.854369999999999</v>
      </c>
      <c r="AV3" s="3">
        <v>20.11111</v>
      </c>
      <c r="AW3" s="3">
        <v>15.72443</v>
      </c>
      <c r="AX3" s="3">
        <v>29.816569999999999</v>
      </c>
      <c r="AY3" s="3">
        <v>30.108029999999999</v>
      </c>
      <c r="AZ3" s="3">
        <v>25.38646</v>
      </c>
      <c r="BA3" s="3">
        <v>30.482340000000001</v>
      </c>
      <c r="BB3" s="3">
        <v>56.892690000000002</v>
      </c>
      <c r="BC3" s="3">
        <v>33.868070000000003</v>
      </c>
      <c r="BD3" s="3">
        <v>34.944000000000003</v>
      </c>
      <c r="BE3" s="3">
        <v>35.855550000000001</v>
      </c>
      <c r="BF3" s="3">
        <v>34.747669999999999</v>
      </c>
      <c r="BG3" s="3">
        <v>12.638769999999999</v>
      </c>
      <c r="BH3" s="3">
        <v>13.046060000000001</v>
      </c>
      <c r="BI3" s="3">
        <v>11.99943</v>
      </c>
      <c r="BJ3" s="3">
        <v>15.47414</v>
      </c>
      <c r="BK3" s="3">
        <v>25.28464</v>
      </c>
      <c r="BL3" s="3">
        <v>13.669140000000001</v>
      </c>
      <c r="BM3" s="3">
        <v>17.179510000000001</v>
      </c>
      <c r="BN3" s="3">
        <v>13.415649999999999</v>
      </c>
      <c r="BO3" s="3">
        <v>8.7044490000000003</v>
      </c>
      <c r="BP3" s="3">
        <v>21.261060000000001</v>
      </c>
      <c r="BQ3" s="3">
        <v>20.38345</v>
      </c>
      <c r="BR3" s="3">
        <v>18.487010000000001</v>
      </c>
      <c r="BS3" s="3">
        <v>12.481769999999999</v>
      </c>
      <c r="BT3" s="3">
        <v>36.651209999999999</v>
      </c>
      <c r="BU3" s="3">
        <v>18.435929999999999</v>
      </c>
      <c r="BV3" s="3">
        <v>13.40649</v>
      </c>
      <c r="BW3" s="3">
        <v>19.272770000000001</v>
      </c>
      <c r="BX3" s="3">
        <v>12.53504</v>
      </c>
      <c r="BY3" s="3">
        <v>34.541890000000002</v>
      </c>
      <c r="BZ3" s="3">
        <v>33.248260000000002</v>
      </c>
      <c r="CA3" s="3">
        <v>32.229559999999999</v>
      </c>
      <c r="CB3" s="3">
        <v>33.557969999999997</v>
      </c>
      <c r="CC3" s="3">
        <v>82.525270000000006</v>
      </c>
      <c r="CD3" s="3">
        <v>27.92484</v>
      </c>
      <c r="CE3" s="3">
        <v>40.670479999999998</v>
      </c>
      <c r="CF3" s="3">
        <v>27.05959</v>
      </c>
      <c r="CG3" s="3">
        <v>25.38147</v>
      </c>
      <c r="CH3" s="3">
        <v>22.467420000000001</v>
      </c>
      <c r="CI3" s="3">
        <v>24.93806</v>
      </c>
      <c r="CJ3" s="3">
        <v>26.650189999999998</v>
      </c>
      <c r="CK3" s="3">
        <v>25.731739999999999</v>
      </c>
      <c r="CL3" s="3">
        <v>46.978400000000001</v>
      </c>
      <c r="CM3" s="3">
        <v>28.09843</v>
      </c>
      <c r="CN3" s="3">
        <v>22.16114</v>
      </c>
      <c r="CO3" s="3">
        <v>19.364409999999999</v>
      </c>
      <c r="CP3" s="3">
        <v>15.452489999999999</v>
      </c>
      <c r="CQ3" s="3">
        <v>14.7967</v>
      </c>
      <c r="CR3" s="3">
        <v>23.98847</v>
      </c>
      <c r="CS3" s="3">
        <v>32.302909999999997</v>
      </c>
      <c r="CT3" s="3">
        <v>24.502980000000001</v>
      </c>
      <c r="CU3" s="3">
        <v>36.445999999999998</v>
      </c>
      <c r="CV3" s="3">
        <v>25.454889999999999</v>
      </c>
      <c r="CW3" s="3">
        <v>23.200389999999999</v>
      </c>
      <c r="CX3" s="3">
        <v>21.779530000000001</v>
      </c>
      <c r="CY3" s="3">
        <v>18.325369999999999</v>
      </c>
    </row>
    <row r="4" spans="1:103" x14ac:dyDescent="0.2">
      <c r="A4" s="3">
        <v>1</v>
      </c>
      <c r="B4" s="4" t="s">
        <v>117</v>
      </c>
      <c r="C4" s="3">
        <v>8</v>
      </c>
      <c r="D4" s="3">
        <f>AVERAGE(Reformatted!D4:L4)</f>
        <v>23.840334444444444</v>
      </c>
      <c r="E4" s="3">
        <f>AVERAGE(Reformatted!M4:U4)</f>
        <v>20.754866666666668</v>
      </c>
      <c r="N4" s="3">
        <f>AVERAGE(Reformatted!V4:AD4)</f>
        <v>39.687374444444444</v>
      </c>
      <c r="W4" s="3">
        <f>AVERAGE(Reformatted!AE4:AM4)</f>
        <v>16.866736000000003</v>
      </c>
      <c r="X4" s="3">
        <v>11.23142</v>
      </c>
      <c r="Y4" s="3">
        <v>15.059279999999999</v>
      </c>
      <c r="Z4" s="3">
        <v>12.68425</v>
      </c>
      <c r="AA4" s="3">
        <v>45.029159999999997</v>
      </c>
      <c r="AB4" s="3">
        <v>15.846120000000001</v>
      </c>
      <c r="AC4" s="3">
        <v>18.735040000000001</v>
      </c>
      <c r="AD4" s="3">
        <v>12.68432</v>
      </c>
      <c r="AE4" s="3">
        <v>8.2559839999999998</v>
      </c>
      <c r="AF4" s="3">
        <v>22.970800000000001</v>
      </c>
      <c r="AG4" s="3">
        <v>23.38888</v>
      </c>
      <c r="AH4" s="3">
        <v>23.031369999999999</v>
      </c>
      <c r="AI4" s="3">
        <v>31.872209999999999</v>
      </c>
      <c r="AJ4" s="3">
        <v>50.779130000000002</v>
      </c>
      <c r="AK4" s="3">
        <v>31.897189999999998</v>
      </c>
      <c r="AL4" s="3">
        <v>26.826720000000002</v>
      </c>
      <c r="AM4" s="3">
        <v>27.565149999999999</v>
      </c>
      <c r="AN4" s="3">
        <v>33.18618</v>
      </c>
      <c r="AO4" s="3">
        <v>23.770489999999999</v>
      </c>
      <c r="AP4" s="3">
        <v>23.33568</v>
      </c>
      <c r="AQ4" s="3">
        <v>30.283339999999999</v>
      </c>
      <c r="AR4" s="3">
        <v>24.923439999999999</v>
      </c>
      <c r="AS4" s="3">
        <v>41.096760000000003</v>
      </c>
      <c r="AT4" s="3">
        <v>22.010899999999999</v>
      </c>
      <c r="AU4" s="3">
        <v>25.003070000000001</v>
      </c>
      <c r="AV4" s="3">
        <v>22.42249</v>
      </c>
      <c r="AW4" s="3">
        <v>18.491720000000001</v>
      </c>
      <c r="AX4" s="3">
        <v>30.911069999999999</v>
      </c>
      <c r="AY4" s="3">
        <v>30.49634</v>
      </c>
      <c r="AZ4" s="3">
        <v>27.43703</v>
      </c>
      <c r="BA4" s="3">
        <v>32.977350000000001</v>
      </c>
      <c r="BB4" s="3">
        <v>63.571820000000002</v>
      </c>
      <c r="BC4" s="3">
        <v>35.6922</v>
      </c>
      <c r="BD4" s="3">
        <v>36.924639999999997</v>
      </c>
      <c r="BE4" s="3">
        <v>39.128059999999998</v>
      </c>
      <c r="BF4" s="3">
        <v>38.222999999999999</v>
      </c>
      <c r="BG4" s="3">
        <v>13.955970000000001</v>
      </c>
      <c r="BH4" s="3">
        <v>15.793950000000001</v>
      </c>
      <c r="BI4" s="3">
        <v>15.95</v>
      </c>
      <c r="BJ4" s="3">
        <v>15.774150000000001</v>
      </c>
      <c r="BK4" s="3">
        <v>29.26614</v>
      </c>
      <c r="BL4" s="3">
        <v>15.110290000000001</v>
      </c>
      <c r="BM4" s="3">
        <v>18.706219999999998</v>
      </c>
      <c r="BN4" s="3">
        <v>13.334239999999999</v>
      </c>
      <c r="BO4" s="3">
        <v>9.7105130000000006</v>
      </c>
      <c r="BP4" s="3">
        <v>20.905809999999999</v>
      </c>
      <c r="BQ4" s="3">
        <v>20.386389999999999</v>
      </c>
      <c r="BR4" s="3">
        <v>19.315930000000002</v>
      </c>
      <c r="BS4" s="3">
        <v>14.90193</v>
      </c>
      <c r="BT4" s="3">
        <v>35.708240000000004</v>
      </c>
      <c r="BU4" s="3">
        <v>18.189050000000002</v>
      </c>
      <c r="BV4" s="3">
        <v>14.88363</v>
      </c>
      <c r="BW4" s="3">
        <v>19.306229999999999</v>
      </c>
      <c r="BX4" s="3">
        <v>12.478009999999999</v>
      </c>
      <c r="BY4" s="3">
        <v>38.179839999999999</v>
      </c>
      <c r="BZ4" s="3">
        <v>34.93826</v>
      </c>
      <c r="CA4" s="3">
        <v>31.182729999999999</v>
      </c>
      <c r="CB4" s="3">
        <v>35.559229999999999</v>
      </c>
      <c r="CC4" s="3">
        <v>84.269139999999993</v>
      </c>
      <c r="CD4" s="3">
        <v>36.14893</v>
      </c>
      <c r="CE4" s="3">
        <v>40.580129999999997</v>
      </c>
      <c r="CF4" s="3">
        <v>28.090710000000001</v>
      </c>
      <c r="CG4" s="3">
        <v>26.33952</v>
      </c>
      <c r="CH4" s="3">
        <v>25.70872</v>
      </c>
      <c r="CI4" s="3">
        <v>28.2303</v>
      </c>
      <c r="CJ4" s="3">
        <v>29.180299999999999</v>
      </c>
      <c r="CK4" s="3">
        <v>28.79541</v>
      </c>
      <c r="CL4" s="3">
        <v>53.084490000000002</v>
      </c>
      <c r="CM4" s="3">
        <v>31.73057</v>
      </c>
      <c r="CN4" s="3">
        <v>24.635120000000001</v>
      </c>
      <c r="CO4" s="3">
        <v>22.443110000000001</v>
      </c>
      <c r="CP4" s="3">
        <v>18.824570000000001</v>
      </c>
      <c r="CQ4" s="3">
        <v>16.541879999999999</v>
      </c>
      <c r="CR4" s="3">
        <v>25.786429999999999</v>
      </c>
      <c r="CS4" s="3">
        <v>31.808959999999999</v>
      </c>
      <c r="CT4" s="3">
        <v>26.683299999999999</v>
      </c>
      <c r="CU4" s="3">
        <v>39.444450000000003</v>
      </c>
      <c r="CV4" s="3">
        <v>29.67746</v>
      </c>
      <c r="CW4" s="3">
        <v>28.866779999999999</v>
      </c>
      <c r="CX4" s="3">
        <v>23.645099999999999</v>
      </c>
      <c r="CY4" s="3">
        <v>22.010760000000001</v>
      </c>
    </row>
    <row r="5" spans="1:103" x14ac:dyDescent="0.2">
      <c r="A5" s="3">
        <v>1</v>
      </c>
      <c r="B5" s="4" t="s">
        <v>117</v>
      </c>
      <c r="C5" s="3">
        <v>12</v>
      </c>
      <c r="D5" s="3">
        <f>AVERAGE(Reformatted!D5:L5)</f>
        <v>25.154096666666668</v>
      </c>
      <c r="E5" s="3">
        <f>AVERAGE(Reformatted!M5:U5)</f>
        <v>22.17764555555555</v>
      </c>
      <c r="N5" s="3">
        <f>AVERAGE(Reformatted!V5:AD5)</f>
        <v>42.817976666666674</v>
      </c>
      <c r="W5" s="3">
        <f>AVERAGE(Reformatted!AE5:AM5)</f>
        <v>19.253280222222223</v>
      </c>
      <c r="X5" s="3">
        <v>13.56329</v>
      </c>
      <c r="Y5" s="3">
        <v>17.523219999999998</v>
      </c>
      <c r="Z5" s="3">
        <v>13.804080000000001</v>
      </c>
      <c r="AA5" s="3">
        <v>48.978430000000003</v>
      </c>
      <c r="AB5" s="3">
        <v>19.05547</v>
      </c>
      <c r="AC5" s="3">
        <v>20.115880000000001</v>
      </c>
      <c r="AD5" s="3">
        <v>17.15288</v>
      </c>
      <c r="AE5" s="3">
        <v>9.1783219999999996</v>
      </c>
      <c r="AF5" s="3">
        <v>25.658190000000001</v>
      </c>
      <c r="AG5" s="3">
        <v>24.869769999999999</v>
      </c>
      <c r="AH5" s="3">
        <v>29.275289999999998</v>
      </c>
      <c r="AI5" s="3">
        <v>34.91095</v>
      </c>
      <c r="AJ5" s="3">
        <v>57.407589999999999</v>
      </c>
      <c r="AK5" s="3">
        <v>38.104509999999998</v>
      </c>
      <c r="AL5" s="3">
        <v>26.492229999999999</v>
      </c>
      <c r="AM5" s="3">
        <v>27.904689999999999</v>
      </c>
      <c r="AN5" s="3">
        <v>36.940010000000001</v>
      </c>
      <c r="AO5" s="3">
        <v>27.416139999999999</v>
      </c>
      <c r="AP5" s="3">
        <v>25.39199</v>
      </c>
      <c r="AQ5" s="3">
        <v>30.845030000000001</v>
      </c>
      <c r="AR5" s="3">
        <v>26.988420000000001</v>
      </c>
      <c r="AS5" s="3">
        <v>45.752569999999999</v>
      </c>
      <c r="AT5" s="3">
        <v>24.759679999999999</v>
      </c>
      <c r="AU5" s="3">
        <v>26.173380000000002</v>
      </c>
      <c r="AV5" s="3">
        <v>26.181840000000001</v>
      </c>
      <c r="AW5" s="3">
        <v>20.18985</v>
      </c>
      <c r="AX5" s="3">
        <v>33.891829999999999</v>
      </c>
      <c r="AY5" s="3">
        <v>36.762860000000003</v>
      </c>
      <c r="AZ5" s="3">
        <v>32.364989999999999</v>
      </c>
      <c r="BA5" s="3">
        <v>36.681319999999999</v>
      </c>
      <c r="BB5" s="3">
        <v>69.770200000000003</v>
      </c>
      <c r="BC5" s="3">
        <v>41.090269999999997</v>
      </c>
      <c r="BD5" s="3">
        <v>42.053510000000003</v>
      </c>
      <c r="BE5" s="3">
        <v>44.637369999999997</v>
      </c>
      <c r="BF5" s="3">
        <v>40.963450000000002</v>
      </c>
      <c r="BG5" s="3">
        <v>17.178830000000001</v>
      </c>
      <c r="BH5" s="3">
        <v>17.794609999999999</v>
      </c>
      <c r="BI5" s="3">
        <v>18.223949999999999</v>
      </c>
      <c r="BJ5" s="3">
        <v>19.62255</v>
      </c>
      <c r="BK5" s="3">
        <v>33.169989999999999</v>
      </c>
      <c r="BL5" s="3">
        <v>16.963640000000002</v>
      </c>
      <c r="BM5" s="3">
        <v>21.09027</v>
      </c>
      <c r="BN5" s="3">
        <v>15.77538</v>
      </c>
      <c r="BO5" s="3">
        <v>11.087400000000001</v>
      </c>
      <c r="BP5" s="3">
        <v>22.378579999999999</v>
      </c>
      <c r="BQ5" s="3">
        <v>22.740860000000001</v>
      </c>
      <c r="BR5" s="3">
        <v>18.291350000000001</v>
      </c>
      <c r="BS5" s="3">
        <v>15.65286</v>
      </c>
      <c r="BT5" s="3">
        <v>37.806899999999999</v>
      </c>
      <c r="BU5" s="3">
        <v>20.909289999999999</v>
      </c>
      <c r="BV5" s="3">
        <v>15.53219</v>
      </c>
      <c r="BW5" s="3">
        <v>18.28753</v>
      </c>
      <c r="BX5" s="3">
        <v>13.198689999999999</v>
      </c>
      <c r="BY5" s="3">
        <v>40.136780000000002</v>
      </c>
      <c r="BZ5" s="3">
        <v>38.299349999999997</v>
      </c>
      <c r="CA5" s="3">
        <v>39.027119999999996</v>
      </c>
      <c r="CB5" s="3">
        <v>37.736289999999997</v>
      </c>
      <c r="CC5" s="3">
        <v>87.816860000000005</v>
      </c>
      <c r="CD5" s="3">
        <v>41.227800000000002</v>
      </c>
      <c r="CE5" s="3">
        <v>43.175750000000001</v>
      </c>
      <c r="CF5" s="3">
        <v>30.88983</v>
      </c>
      <c r="CG5" s="3">
        <v>28.347020000000001</v>
      </c>
      <c r="CH5" s="3">
        <v>28.513030000000001</v>
      </c>
      <c r="CI5" s="3">
        <v>29.200109999999999</v>
      </c>
      <c r="CJ5" s="3">
        <v>33.174979999999998</v>
      </c>
      <c r="CK5" s="3">
        <v>33.151829999999997</v>
      </c>
      <c r="CL5" s="3">
        <v>57.574570000000001</v>
      </c>
      <c r="CM5" s="3">
        <v>39.285469999999997</v>
      </c>
      <c r="CN5" s="3">
        <v>26.41028</v>
      </c>
      <c r="CO5" s="3">
        <v>24.517869999999998</v>
      </c>
      <c r="CP5" s="3">
        <v>21.143529999999998</v>
      </c>
      <c r="CQ5" s="3">
        <v>18.09188</v>
      </c>
      <c r="CR5" s="3">
        <v>28.423909999999999</v>
      </c>
      <c r="CS5" s="3">
        <v>37.008989999999997</v>
      </c>
      <c r="CT5" s="3">
        <v>29.364830000000001</v>
      </c>
      <c r="CU5" s="3">
        <v>47.950850000000003</v>
      </c>
      <c r="CV5" s="3">
        <v>32.729590000000002</v>
      </c>
      <c r="CW5" s="3">
        <v>30.473050000000001</v>
      </c>
      <c r="CX5" s="3">
        <v>28.260280000000002</v>
      </c>
      <c r="CY5" s="3">
        <v>23.691199999999998</v>
      </c>
    </row>
    <row r="6" spans="1:103" x14ac:dyDescent="0.2">
      <c r="A6" s="3">
        <v>1</v>
      </c>
      <c r="B6" s="4" t="s">
        <v>117</v>
      </c>
      <c r="C6" s="3">
        <v>16</v>
      </c>
      <c r="D6" s="3">
        <f>AVERAGE(Reformatted!D6:L6)</f>
        <v>26.406130000000001</v>
      </c>
      <c r="E6" s="3">
        <f>AVERAGE(Reformatted!M6:U6)</f>
        <v>22.173864444444444</v>
      </c>
      <c r="N6" s="3">
        <f>AVERAGE(Reformatted!V6:AD6)</f>
        <v>45.805704444444444</v>
      </c>
      <c r="W6" s="3">
        <f>AVERAGE(Reformatted!AE6:AM6)</f>
        <v>20.257882222222221</v>
      </c>
      <c r="X6" s="3">
        <v>13.660880000000001</v>
      </c>
      <c r="Y6" s="3">
        <v>16.969580000000001</v>
      </c>
      <c r="Z6" s="3">
        <v>14.48611</v>
      </c>
      <c r="AA6" s="3">
        <v>50.915370000000003</v>
      </c>
      <c r="AB6" s="3">
        <v>20.5352</v>
      </c>
      <c r="AC6" s="3">
        <v>22.117159999999998</v>
      </c>
      <c r="AD6" s="3">
        <v>17.306730000000002</v>
      </c>
      <c r="AE6" s="3">
        <v>11.042400000000001</v>
      </c>
      <c r="AF6" s="3">
        <v>27.434519999999999</v>
      </c>
      <c r="AG6" s="3">
        <v>26.626909999999999</v>
      </c>
      <c r="AH6" s="3">
        <v>28.86862</v>
      </c>
      <c r="AI6" s="3">
        <v>39.875909999999998</v>
      </c>
      <c r="AJ6" s="3">
        <v>61.036450000000002</v>
      </c>
      <c r="AK6" s="3">
        <v>42.487430000000003</v>
      </c>
      <c r="AL6" s="3">
        <v>30.299720000000001</v>
      </c>
      <c r="AM6" s="3">
        <v>31.733640000000001</v>
      </c>
      <c r="AN6" s="3">
        <v>42.770499999999998</v>
      </c>
      <c r="AO6" s="3">
        <v>28.86159</v>
      </c>
      <c r="AP6" s="3">
        <v>26.70673</v>
      </c>
      <c r="AQ6" s="3">
        <v>36.210459999999998</v>
      </c>
      <c r="AR6" s="3">
        <v>31.290150000000001</v>
      </c>
      <c r="AS6" s="3">
        <v>53.586109999999998</v>
      </c>
      <c r="AT6" s="3">
        <v>30.193739999999998</v>
      </c>
      <c r="AU6" s="3">
        <v>33.576749999999997</v>
      </c>
      <c r="AV6" s="3">
        <v>30.786439999999999</v>
      </c>
      <c r="AW6" s="3">
        <v>21.431039999999999</v>
      </c>
      <c r="AX6" s="3">
        <v>41.489699999999999</v>
      </c>
      <c r="AY6" s="3">
        <v>43.157780000000002</v>
      </c>
      <c r="AZ6" s="3">
        <v>37.379469999999998</v>
      </c>
      <c r="BA6" s="3">
        <v>42.408079999999998</v>
      </c>
      <c r="BB6" s="3">
        <v>79.955190000000002</v>
      </c>
      <c r="BC6" s="3">
        <v>46.932499999999997</v>
      </c>
      <c r="BD6" s="3">
        <v>51.586880000000001</v>
      </c>
      <c r="BE6" s="3">
        <v>53.742080000000001</v>
      </c>
      <c r="BF6" s="3">
        <v>47.281190000000002</v>
      </c>
      <c r="BG6" s="3">
        <v>18.624749999999999</v>
      </c>
      <c r="BH6" s="3">
        <v>21.287559999999999</v>
      </c>
      <c r="BI6" s="3">
        <v>20.368230000000001</v>
      </c>
      <c r="BJ6" s="3">
        <v>20.755230000000001</v>
      </c>
      <c r="BK6" s="3">
        <v>38.579680000000003</v>
      </c>
      <c r="BL6" s="3">
        <v>20.191960000000002</v>
      </c>
      <c r="BM6" s="3">
        <v>24.15934</v>
      </c>
      <c r="BN6" s="3">
        <v>19.04195</v>
      </c>
      <c r="BO6" s="3">
        <v>12.768929999999999</v>
      </c>
      <c r="BP6" s="3">
        <v>22.842210000000001</v>
      </c>
      <c r="BQ6" s="3">
        <v>22.65926</v>
      </c>
      <c r="BR6" s="3">
        <v>18.211729999999999</v>
      </c>
      <c r="BS6" s="3">
        <v>17.99682</v>
      </c>
      <c r="BT6" s="3">
        <v>39.49239</v>
      </c>
      <c r="BU6" s="3">
        <v>22.728090000000002</v>
      </c>
      <c r="BV6" s="3">
        <v>15.01994</v>
      </c>
      <c r="BW6" s="3">
        <v>18.894850000000002</v>
      </c>
      <c r="BX6" s="3">
        <v>13.092359999999999</v>
      </c>
      <c r="BY6" s="3">
        <v>42.527999999999999</v>
      </c>
      <c r="BZ6" s="3">
        <v>41.407139999999998</v>
      </c>
      <c r="CA6" s="3">
        <v>40.20364</v>
      </c>
      <c r="CB6" s="3">
        <v>40.311340000000001</v>
      </c>
      <c r="CC6" s="3">
        <v>90.599040000000002</v>
      </c>
      <c r="CD6" s="3">
        <v>44.60924</v>
      </c>
      <c r="CE6" s="3">
        <v>43.664909999999999</v>
      </c>
      <c r="CF6" s="3">
        <v>29.3735</v>
      </c>
      <c r="CG6" s="3">
        <v>31.079329999999999</v>
      </c>
      <c r="CH6" s="3">
        <v>28.15108</v>
      </c>
      <c r="CI6" s="3">
        <v>35.069929999999999</v>
      </c>
      <c r="CJ6" s="3">
        <v>36.748800000000003</v>
      </c>
      <c r="CK6" s="3">
        <v>36.203220000000002</v>
      </c>
      <c r="CL6" s="3">
        <v>65.027109999999993</v>
      </c>
      <c r="CM6" s="3">
        <v>43.244430000000001</v>
      </c>
      <c r="CN6" s="3">
        <v>27.470839999999999</v>
      </c>
      <c r="CO6" s="3">
        <v>29.556650000000001</v>
      </c>
      <c r="CP6" s="3">
        <v>22.26146</v>
      </c>
      <c r="CQ6" s="3">
        <v>18.22026</v>
      </c>
      <c r="CR6" s="3">
        <v>29.39931</v>
      </c>
      <c r="CS6" s="3">
        <v>40.334829999999997</v>
      </c>
      <c r="CT6" s="3">
        <v>33.081980000000001</v>
      </c>
      <c r="CU6" s="3">
        <v>49.109070000000003</v>
      </c>
      <c r="CV6" s="3">
        <v>36.215910000000001</v>
      </c>
      <c r="CW6" s="3">
        <v>30.778030000000001</v>
      </c>
      <c r="CX6" s="3">
        <v>33.111400000000003</v>
      </c>
      <c r="CY6" s="3">
        <v>24.875779999999999</v>
      </c>
    </row>
    <row r="7" spans="1:103" x14ac:dyDescent="0.2">
      <c r="A7" s="3">
        <v>1</v>
      </c>
      <c r="B7" s="4" t="s">
        <v>117</v>
      </c>
      <c r="C7" s="3">
        <v>20</v>
      </c>
      <c r="D7" s="3">
        <f>AVERAGE(Reformatted!D7:L7)</f>
        <v>30.090735555555554</v>
      </c>
      <c r="E7" s="3">
        <f>AVERAGE(Reformatted!M7:U7)</f>
        <v>23.413106666666668</v>
      </c>
      <c r="N7" s="3">
        <f>AVERAGE(Reformatted!V7:AD7)</f>
        <v>50.911160000000002</v>
      </c>
      <c r="W7" s="3">
        <f>AVERAGE(Reformatted!AE7:AM7)</f>
        <v>21.229420000000001</v>
      </c>
      <c r="X7" s="3">
        <v>15.913600000000001</v>
      </c>
      <c r="Y7" s="3">
        <v>13.24526</v>
      </c>
      <c r="Z7" s="3">
        <v>16.39669</v>
      </c>
      <c r="AA7" s="3">
        <v>55.482669999999999</v>
      </c>
      <c r="AB7" s="3">
        <v>21.121400000000001</v>
      </c>
      <c r="AC7" s="3">
        <v>22.673729999999999</v>
      </c>
      <c r="AD7" s="3">
        <v>18.511050000000001</v>
      </c>
      <c r="AE7" s="3">
        <v>11.47823</v>
      </c>
      <c r="AF7" s="3">
        <v>34.043170000000003</v>
      </c>
      <c r="AG7" s="3">
        <v>32.7819</v>
      </c>
      <c r="AH7" s="3">
        <v>36.325180000000003</v>
      </c>
      <c r="AI7" s="3">
        <v>44.080109999999998</v>
      </c>
      <c r="AJ7" s="3">
        <v>69.463909999999998</v>
      </c>
      <c r="AK7" s="3">
        <v>50.420670000000001</v>
      </c>
      <c r="AL7" s="3">
        <v>32.358840000000001</v>
      </c>
      <c r="AM7" s="3">
        <v>38.51426</v>
      </c>
      <c r="AN7" s="3">
        <v>47.036990000000003</v>
      </c>
      <c r="AO7" s="3">
        <v>31.65483</v>
      </c>
      <c r="AP7" s="3">
        <v>29.609719999999999</v>
      </c>
      <c r="AQ7" s="3">
        <v>40.446620000000003</v>
      </c>
      <c r="AR7" s="3">
        <v>36.612830000000002</v>
      </c>
      <c r="AS7" s="3">
        <v>62.093530000000001</v>
      </c>
      <c r="AT7" s="3">
        <v>34.14302</v>
      </c>
      <c r="AU7" s="3">
        <v>39.370420000000003</v>
      </c>
      <c r="AV7" s="3">
        <v>36.22739</v>
      </c>
      <c r="AW7" s="3">
        <v>26.341989999999999</v>
      </c>
      <c r="AX7" s="3">
        <v>47.101860000000002</v>
      </c>
      <c r="AY7" s="3">
        <v>50.440539999999999</v>
      </c>
      <c r="AZ7" s="3">
        <v>42.961440000000003</v>
      </c>
      <c r="BA7" s="3">
        <v>47.810989999999997</v>
      </c>
      <c r="BB7" s="3">
        <v>87.442009999999996</v>
      </c>
      <c r="BC7" s="3">
        <v>55.635860000000001</v>
      </c>
      <c r="BD7" s="3">
        <v>56.975250000000003</v>
      </c>
      <c r="BE7" s="3">
        <v>60.268790000000003</v>
      </c>
      <c r="BF7" s="3">
        <v>52.947710000000001</v>
      </c>
      <c r="BG7" s="3">
        <v>21.471540000000001</v>
      </c>
      <c r="BH7" s="3">
        <v>22.205190000000002</v>
      </c>
      <c r="BI7" s="3">
        <v>23.687100000000001</v>
      </c>
      <c r="BJ7" s="3">
        <v>26.23969</v>
      </c>
      <c r="BK7" s="3">
        <v>44.561230000000002</v>
      </c>
      <c r="BL7" s="3">
        <v>23.678429999999999</v>
      </c>
      <c r="BM7" s="3">
        <v>28.332270000000001</v>
      </c>
      <c r="BN7" s="3">
        <v>21.247399999999999</v>
      </c>
      <c r="BO7" s="3">
        <v>13.563359999999999</v>
      </c>
      <c r="BP7" s="3">
        <v>24.81315</v>
      </c>
      <c r="BQ7" s="3">
        <v>24.015650000000001</v>
      </c>
      <c r="BR7" s="3">
        <v>19.222370000000002</v>
      </c>
      <c r="BS7" s="3">
        <v>19.5305</v>
      </c>
      <c r="BT7" s="3">
        <v>44.433929999999997</v>
      </c>
      <c r="BU7" s="3">
        <v>23.348790000000001</v>
      </c>
      <c r="BV7" s="3">
        <v>16.981940000000002</v>
      </c>
      <c r="BW7" s="3">
        <v>21.649370000000001</v>
      </c>
      <c r="BX7" s="3">
        <v>14.02023</v>
      </c>
      <c r="BY7" s="3">
        <v>45.182679999999998</v>
      </c>
      <c r="BZ7" s="3">
        <v>43.411949999999997</v>
      </c>
      <c r="CA7" s="3">
        <v>43.138170000000002</v>
      </c>
      <c r="CB7" s="3">
        <v>45.46622</v>
      </c>
      <c r="CC7" s="3">
        <v>91.739360000000005</v>
      </c>
      <c r="CD7" s="3">
        <v>49.95234</v>
      </c>
      <c r="CE7" s="3">
        <v>45.811700000000002</v>
      </c>
      <c r="CF7" s="3">
        <v>36.587150000000001</v>
      </c>
      <c r="CG7" s="3">
        <v>31.25328</v>
      </c>
      <c r="CH7" s="3">
        <v>35.69903</v>
      </c>
      <c r="CI7" s="3">
        <v>40.278210000000001</v>
      </c>
      <c r="CJ7" s="3">
        <v>42.492899999999999</v>
      </c>
      <c r="CK7" s="3">
        <v>40.329569999999997</v>
      </c>
      <c r="CL7" s="3">
        <v>75.972660000000005</v>
      </c>
      <c r="CM7" s="3">
        <v>51.245559999999998</v>
      </c>
      <c r="CN7" s="3">
        <v>33.670589999999997</v>
      </c>
      <c r="CO7" s="3">
        <v>36.075040000000001</v>
      </c>
      <c r="CP7" s="3">
        <v>24.015170000000001</v>
      </c>
      <c r="CQ7" s="3">
        <v>22.725770000000001</v>
      </c>
      <c r="CR7" s="3">
        <v>34.759340000000002</v>
      </c>
      <c r="CS7" s="3">
        <v>46.195779999999999</v>
      </c>
      <c r="CT7" s="3">
        <v>36.715260000000001</v>
      </c>
      <c r="CU7" s="3">
        <v>63.43374</v>
      </c>
      <c r="CV7" s="3">
        <v>48.07835</v>
      </c>
      <c r="CW7" s="3">
        <v>38.709159999999997</v>
      </c>
      <c r="CX7" s="3">
        <v>38.56288</v>
      </c>
      <c r="CY7" s="3">
        <v>31.00169</v>
      </c>
    </row>
    <row r="8" spans="1:103" x14ac:dyDescent="0.2">
      <c r="A8" s="3">
        <v>1</v>
      </c>
      <c r="B8" s="4" t="s">
        <v>117</v>
      </c>
      <c r="C8" s="3">
        <v>24</v>
      </c>
      <c r="D8" s="3">
        <f>AVERAGE(Reformatted!D8:L8)</f>
        <v>33.522725555555553</v>
      </c>
      <c r="E8" s="3">
        <f>AVERAGE(Reformatted!M8:U8)</f>
        <v>28.18714111111111</v>
      </c>
      <c r="N8" s="3">
        <f>AVERAGE(Reformatted!V8:AD8)</f>
        <v>57.715994444444441</v>
      </c>
      <c r="W8" s="3">
        <f>AVERAGE(Reformatted!AE8:AM8)</f>
        <v>24.870617777777781</v>
      </c>
      <c r="X8" s="3">
        <v>19.09562</v>
      </c>
      <c r="Y8" s="3">
        <v>19.082170000000001</v>
      </c>
      <c r="Z8" s="3">
        <v>19.24053</v>
      </c>
      <c r="AA8" s="3">
        <v>62.926070000000003</v>
      </c>
      <c r="AB8" s="3">
        <v>27.34395</v>
      </c>
      <c r="AC8" s="3">
        <v>24.175930000000001</v>
      </c>
      <c r="AD8" s="3">
        <v>19.60999</v>
      </c>
      <c r="AE8" s="3">
        <v>13.12698</v>
      </c>
      <c r="AF8" s="3">
        <v>40.704210000000003</v>
      </c>
      <c r="AG8" s="3">
        <v>37.794400000000003</v>
      </c>
      <c r="AH8" s="3">
        <v>38.758200000000002</v>
      </c>
      <c r="AI8" s="3">
        <v>53.04777</v>
      </c>
      <c r="AJ8" s="3">
        <v>79.18262</v>
      </c>
      <c r="AK8" s="3">
        <v>59.751350000000002</v>
      </c>
      <c r="AL8" s="3">
        <v>39.724710000000002</v>
      </c>
      <c r="AM8" s="3">
        <v>43.143650000000001</v>
      </c>
      <c r="AN8" s="3">
        <v>54.748550000000002</v>
      </c>
      <c r="AO8" s="3">
        <v>39.269350000000003</v>
      </c>
      <c r="AP8" s="3">
        <v>37.55742</v>
      </c>
      <c r="AQ8" s="3">
        <v>45.776670000000003</v>
      </c>
      <c r="AR8" s="3">
        <v>41.113889999999998</v>
      </c>
      <c r="AS8" s="3">
        <v>72.315479999999994</v>
      </c>
      <c r="AT8" s="3">
        <v>41.657080000000001</v>
      </c>
      <c r="AU8" s="3">
        <v>46.984529999999999</v>
      </c>
      <c r="AV8" s="3">
        <v>41.933320000000002</v>
      </c>
      <c r="AW8" s="3">
        <v>31.566659999999999</v>
      </c>
      <c r="AX8" s="3">
        <v>54.49812</v>
      </c>
      <c r="AY8" s="3">
        <v>59.056010000000001</v>
      </c>
      <c r="AZ8" s="3">
        <v>52.531419999999997</v>
      </c>
      <c r="BA8" s="3">
        <v>58.14302</v>
      </c>
      <c r="BB8" s="3">
        <v>94.103610000000003</v>
      </c>
      <c r="BC8" s="3">
        <v>65.809389999999993</v>
      </c>
      <c r="BD8" s="3">
        <v>67.314589999999995</v>
      </c>
      <c r="BE8" s="3">
        <v>72.498019999999997</v>
      </c>
      <c r="BF8" s="3">
        <v>65.574190000000002</v>
      </c>
      <c r="BG8" s="3">
        <v>26.20036</v>
      </c>
      <c r="BH8" s="3">
        <v>27.02243</v>
      </c>
      <c r="BI8" s="3">
        <v>25.411930000000002</v>
      </c>
      <c r="BJ8" s="3">
        <v>29.160430000000002</v>
      </c>
      <c r="BK8" s="3">
        <v>52.906599999999997</v>
      </c>
      <c r="BL8" s="3">
        <v>28.581389999999999</v>
      </c>
      <c r="BM8" s="3">
        <v>33.108539999999998</v>
      </c>
      <c r="BN8" s="3">
        <v>25.531310000000001</v>
      </c>
      <c r="BO8" s="3">
        <v>16.373259999999998</v>
      </c>
      <c r="BP8" s="3">
        <v>26.117100000000001</v>
      </c>
      <c r="BQ8" s="3">
        <v>26.60716</v>
      </c>
      <c r="BR8" s="3">
        <v>22.112439999999999</v>
      </c>
      <c r="BS8" s="3">
        <v>21.760200000000001</v>
      </c>
      <c r="BT8" s="3">
        <v>45.704219999999999</v>
      </c>
      <c r="BU8" s="3">
        <v>28.2988</v>
      </c>
      <c r="BV8" s="3">
        <v>19.315860000000001</v>
      </c>
      <c r="BW8" s="3">
        <v>23.478809999999999</v>
      </c>
      <c r="BX8" s="3">
        <v>17.271699999999999</v>
      </c>
      <c r="BY8" s="3">
        <v>51.895139999999998</v>
      </c>
      <c r="BZ8" s="3">
        <v>53.238840000000003</v>
      </c>
      <c r="CA8" s="3">
        <v>52.473500000000001</v>
      </c>
      <c r="CB8" s="3">
        <v>54.394869999999997</v>
      </c>
      <c r="CC8" s="3">
        <v>93.883229999999998</v>
      </c>
      <c r="CD8" s="3">
        <v>56.78472</v>
      </c>
      <c r="CE8" s="3">
        <v>51.649850000000001</v>
      </c>
      <c r="CF8" s="3">
        <v>43.509619999999998</v>
      </c>
      <c r="CG8" s="3">
        <v>37.436140000000002</v>
      </c>
      <c r="CH8" s="3">
        <v>41.344239999999999</v>
      </c>
      <c r="CI8" s="3">
        <v>47.913020000000003</v>
      </c>
      <c r="CJ8" s="3">
        <v>50.475920000000002</v>
      </c>
      <c r="CK8" s="3">
        <v>50.756120000000003</v>
      </c>
      <c r="CL8" s="3">
        <v>82.6768</v>
      </c>
      <c r="CM8" s="3">
        <v>54.255549999999999</v>
      </c>
      <c r="CN8" s="3">
        <v>40.099980000000002</v>
      </c>
      <c r="CO8" s="3">
        <v>40.309089999999998</v>
      </c>
      <c r="CP8" s="3">
        <v>29.802219999999998</v>
      </c>
      <c r="CQ8" s="3">
        <v>27.308299999999999</v>
      </c>
      <c r="CR8" s="3">
        <v>40.113779999999998</v>
      </c>
      <c r="CS8" s="3">
        <v>55.108989999999999</v>
      </c>
      <c r="CT8" s="3">
        <v>44.076700000000002</v>
      </c>
      <c r="CU8" s="3">
        <v>69.361549999999994</v>
      </c>
      <c r="CV8" s="3">
        <v>53.260550000000002</v>
      </c>
      <c r="CW8" s="3">
        <v>43.063809999999997</v>
      </c>
      <c r="CX8" s="3">
        <v>42.449530000000003</v>
      </c>
      <c r="CY8" s="3">
        <v>36.121960000000001</v>
      </c>
    </row>
    <row r="9" spans="1:103" x14ac:dyDescent="0.2">
      <c r="A9" s="3">
        <v>1</v>
      </c>
      <c r="B9" s="4" t="s">
        <v>117</v>
      </c>
      <c r="C9" s="3">
        <v>28</v>
      </c>
      <c r="D9" s="3">
        <f>AVERAGE(Reformatted!D9:L9)</f>
        <v>37.932878888888894</v>
      </c>
      <c r="E9" s="3">
        <f>AVERAGE(Reformatted!M9:U9)</f>
        <v>30.656735555555549</v>
      </c>
      <c r="N9" s="3">
        <f>AVERAGE(Reformatted!V9:AD9)</f>
        <v>64.784978888888887</v>
      </c>
      <c r="W9" s="3">
        <f>AVERAGE(Reformatted!AE9:AM9)</f>
        <v>28.693674444444444</v>
      </c>
      <c r="X9" s="3">
        <v>20.820309999999999</v>
      </c>
      <c r="Y9" s="3">
        <v>25.854189999999999</v>
      </c>
      <c r="Z9" s="3">
        <v>22.276959999999999</v>
      </c>
      <c r="AA9" s="3">
        <v>68.265199999999993</v>
      </c>
      <c r="AB9" s="3">
        <v>30.706130000000002</v>
      </c>
      <c r="AC9" s="3">
        <v>30.43159</v>
      </c>
      <c r="AD9" s="3">
        <v>22.600999999999999</v>
      </c>
      <c r="AE9" s="3">
        <v>15.534039999999999</v>
      </c>
      <c r="AF9" s="3">
        <v>47.319989999999997</v>
      </c>
      <c r="AG9" s="3">
        <v>47.156500000000001</v>
      </c>
      <c r="AH9" s="3">
        <v>51.339390000000002</v>
      </c>
      <c r="AI9" s="3">
        <v>61.081049999999998</v>
      </c>
      <c r="AJ9" s="3">
        <v>85.318160000000006</v>
      </c>
      <c r="AK9" s="3">
        <v>68.706289999999996</v>
      </c>
      <c r="AL9" s="3">
        <v>46.14217</v>
      </c>
      <c r="AM9" s="3">
        <v>49.983750000000001</v>
      </c>
      <c r="AN9" s="3">
        <v>66.285579999999996</v>
      </c>
      <c r="AO9" s="3">
        <v>44.268599999999999</v>
      </c>
      <c r="AP9" s="3">
        <v>43.527239999999999</v>
      </c>
      <c r="AQ9" s="3">
        <v>59.746090000000002</v>
      </c>
      <c r="AR9" s="3">
        <v>50.195650000000001</v>
      </c>
      <c r="AS9" s="3">
        <v>79.535480000000007</v>
      </c>
      <c r="AT9" s="3">
        <v>46.211350000000003</v>
      </c>
      <c r="AU9" s="3">
        <v>52.239400000000003</v>
      </c>
      <c r="AV9" s="3">
        <v>47.563580000000002</v>
      </c>
      <c r="AW9" s="3">
        <v>37.844659999999998</v>
      </c>
      <c r="AX9" s="3">
        <v>66.440389999999994</v>
      </c>
      <c r="AY9" s="3">
        <v>68.309799999999996</v>
      </c>
      <c r="AZ9" s="3">
        <v>63.301870000000001</v>
      </c>
      <c r="BA9" s="3">
        <v>70.546120000000002</v>
      </c>
      <c r="BB9" s="3">
        <v>96.554079999999999</v>
      </c>
      <c r="BC9" s="3">
        <v>78.036829999999995</v>
      </c>
      <c r="BD9" s="3">
        <v>81.802679999999995</v>
      </c>
      <c r="BE9" s="3">
        <v>84.570099999999996</v>
      </c>
      <c r="BF9" s="3">
        <v>75.371510000000001</v>
      </c>
      <c r="BG9" s="3">
        <v>31.33079</v>
      </c>
      <c r="BH9" s="3">
        <v>31.69</v>
      </c>
      <c r="BI9" s="3">
        <v>29.47935</v>
      </c>
      <c r="BJ9" s="3">
        <v>36.62088</v>
      </c>
      <c r="BK9" s="3">
        <v>59.480029999999999</v>
      </c>
      <c r="BL9" s="3">
        <v>32.613639999999997</v>
      </c>
      <c r="BM9" s="3">
        <v>38.885489999999997</v>
      </c>
      <c r="BN9" s="3">
        <v>29.85502</v>
      </c>
      <c r="BO9" s="3">
        <v>19.67801</v>
      </c>
      <c r="BP9" s="3">
        <v>32.83428</v>
      </c>
      <c r="BQ9" s="3">
        <v>31.362680000000001</v>
      </c>
      <c r="BR9" s="3">
        <v>24.236499999999999</v>
      </c>
      <c r="BS9" s="3">
        <v>23.461269999999999</v>
      </c>
      <c r="BT9" s="3">
        <v>51.947740000000003</v>
      </c>
      <c r="BU9" s="3">
        <v>32.17295</v>
      </c>
      <c r="BV9" s="3">
        <v>20.118760000000002</v>
      </c>
      <c r="BW9" s="3">
        <v>25.42867</v>
      </c>
      <c r="BX9" s="3">
        <v>19.55781</v>
      </c>
      <c r="BY9" s="3">
        <v>59.04345</v>
      </c>
      <c r="BZ9" s="3">
        <v>58.350560000000002</v>
      </c>
      <c r="CA9" s="3">
        <v>53.29504</v>
      </c>
      <c r="CB9" s="3">
        <v>60.78248</v>
      </c>
      <c r="CC9" s="3">
        <v>95.374309999999994</v>
      </c>
      <c r="CD9" s="3">
        <v>68.872579999999999</v>
      </c>
      <c r="CE9" s="3">
        <v>58.626130000000003</v>
      </c>
      <c r="CF9" s="3">
        <v>49.70628</v>
      </c>
      <c r="CG9" s="3">
        <v>45.928820000000002</v>
      </c>
      <c r="CH9" s="3">
        <v>48.68656</v>
      </c>
      <c r="CI9" s="3">
        <v>56.690469999999998</v>
      </c>
      <c r="CJ9" s="3">
        <v>55.411589999999997</v>
      </c>
      <c r="CK9" s="3">
        <v>55.996839999999999</v>
      </c>
      <c r="CL9" s="3">
        <v>89.914699999999996</v>
      </c>
      <c r="CM9" s="3">
        <v>65.191479999999999</v>
      </c>
      <c r="CN9" s="3">
        <v>47.09272</v>
      </c>
      <c r="CO9" s="3">
        <v>50.4557</v>
      </c>
      <c r="CP9" s="3">
        <v>37.209760000000003</v>
      </c>
      <c r="CQ9" s="3">
        <v>30.22542</v>
      </c>
      <c r="CR9" s="3">
        <v>46.41178</v>
      </c>
      <c r="CS9" s="3">
        <v>62.423720000000003</v>
      </c>
      <c r="CT9" s="3">
        <v>53.798349999999999</v>
      </c>
      <c r="CU9" s="3">
        <v>76.573759999999993</v>
      </c>
      <c r="CV9" s="3">
        <v>62.980899999999998</v>
      </c>
      <c r="CW9" s="3">
        <v>50.153100000000002</v>
      </c>
      <c r="CX9" s="3">
        <v>52.16469</v>
      </c>
      <c r="CY9" s="3">
        <v>42.124470000000002</v>
      </c>
    </row>
    <row r="10" spans="1:103" x14ac:dyDescent="0.2">
      <c r="A10" s="3">
        <v>1</v>
      </c>
      <c r="B10" s="4" t="s">
        <v>117</v>
      </c>
      <c r="C10" s="3">
        <v>32</v>
      </c>
      <c r="D10" s="3">
        <f>AVERAGE(Reformatted!D10:L10)</f>
        <v>44.137962222222228</v>
      </c>
      <c r="E10" s="3">
        <f>AVERAGE(Reformatted!M10:U10)</f>
        <v>37.01276444444445</v>
      </c>
      <c r="N10" s="3">
        <f>AVERAGE(Reformatted!V10:AD10)</f>
        <v>74.464671111111102</v>
      </c>
      <c r="W10" s="3">
        <f>AVERAGE(Reformatted!AE10:AM10)</f>
        <v>33.557766666666659</v>
      </c>
      <c r="X10" s="3">
        <v>26.873090000000001</v>
      </c>
      <c r="Y10" s="3">
        <v>30.946100000000001</v>
      </c>
      <c r="Z10" s="3">
        <v>25.802150000000001</v>
      </c>
      <c r="AA10" s="3">
        <v>74.716859999999997</v>
      </c>
      <c r="AB10" s="3">
        <v>37.114490000000004</v>
      </c>
      <c r="AC10" s="3">
        <v>34.685589999999998</v>
      </c>
      <c r="AD10" s="3">
        <v>25.555</v>
      </c>
      <c r="AE10" s="3">
        <v>18.399049999999999</v>
      </c>
      <c r="AF10" s="3">
        <v>60.012560000000001</v>
      </c>
      <c r="AG10" s="3">
        <v>59.949179999999998</v>
      </c>
      <c r="AH10" s="3">
        <v>59.05171</v>
      </c>
      <c r="AI10" s="3">
        <v>74.695490000000007</v>
      </c>
      <c r="AJ10" s="3">
        <v>93.593469999999996</v>
      </c>
      <c r="AK10" s="3">
        <v>78.771510000000006</v>
      </c>
      <c r="AL10" s="3">
        <v>56.105420000000002</v>
      </c>
      <c r="AM10" s="3">
        <v>59.325150000000001</v>
      </c>
      <c r="AN10" s="3">
        <v>77.366619999999998</v>
      </c>
      <c r="AO10" s="3">
        <v>53.333480000000002</v>
      </c>
      <c r="AP10" s="3">
        <v>54.310600000000001</v>
      </c>
      <c r="AQ10" s="3">
        <v>71.308459999999997</v>
      </c>
      <c r="AR10" s="3">
        <v>59.295929999999998</v>
      </c>
      <c r="AS10" s="3">
        <v>87.362319999999997</v>
      </c>
      <c r="AT10" s="3">
        <v>57.298259999999999</v>
      </c>
      <c r="AU10" s="3">
        <v>64.236710000000002</v>
      </c>
      <c r="AV10" s="3">
        <v>60.875149999999998</v>
      </c>
      <c r="AW10" s="3">
        <v>46.02075</v>
      </c>
      <c r="AX10" s="3">
        <v>78.722549999999998</v>
      </c>
      <c r="AY10" s="3">
        <v>81.049700000000001</v>
      </c>
      <c r="AZ10" s="3">
        <v>77.157039999999995</v>
      </c>
      <c r="BA10" s="3">
        <v>83.96566</v>
      </c>
      <c r="BB10" s="3">
        <v>98.873390000000001</v>
      </c>
      <c r="BC10" s="3">
        <v>85.216750000000005</v>
      </c>
      <c r="BD10" s="3">
        <v>89.503249999999994</v>
      </c>
      <c r="BE10" s="3">
        <v>92.550939999999997</v>
      </c>
      <c r="BF10" s="3">
        <v>87.576890000000006</v>
      </c>
      <c r="BG10" s="3">
        <v>39.660249999999998</v>
      </c>
      <c r="BH10" s="3">
        <v>40.2455</v>
      </c>
      <c r="BI10" s="3">
        <v>39.175800000000002</v>
      </c>
      <c r="BJ10" s="3">
        <v>43.410870000000003</v>
      </c>
      <c r="BK10" s="3">
        <v>70.769019999999998</v>
      </c>
      <c r="BL10" s="3">
        <v>42.192410000000002</v>
      </c>
      <c r="BM10" s="3">
        <v>49.21022</v>
      </c>
      <c r="BN10" s="3">
        <v>36.821190000000001</v>
      </c>
      <c r="BO10" s="3">
        <v>22.943750000000001</v>
      </c>
      <c r="BP10" s="3">
        <v>36.406660000000002</v>
      </c>
      <c r="BQ10" s="3">
        <v>36.53546</v>
      </c>
      <c r="BR10" s="3">
        <v>27.02045</v>
      </c>
      <c r="BS10" s="3">
        <v>29.574339999999999</v>
      </c>
      <c r="BT10" s="3">
        <v>63.350279999999998</v>
      </c>
      <c r="BU10" s="3">
        <v>39.720959999999998</v>
      </c>
      <c r="BV10" s="3">
        <v>25.25808</v>
      </c>
      <c r="BW10" s="3">
        <v>28.378830000000001</v>
      </c>
      <c r="BX10" s="3">
        <v>21.212569999999999</v>
      </c>
      <c r="BY10" s="3">
        <v>75.345749999999995</v>
      </c>
      <c r="BZ10" s="3">
        <v>70.726680000000002</v>
      </c>
      <c r="CA10" s="3">
        <v>67.698040000000006</v>
      </c>
      <c r="CB10" s="3">
        <v>70.93074</v>
      </c>
      <c r="CC10" s="3">
        <v>96.701260000000005</v>
      </c>
      <c r="CD10" s="3">
        <v>75.588319999999996</v>
      </c>
      <c r="CE10" s="3">
        <v>73.674800000000005</v>
      </c>
      <c r="CF10" s="3">
        <v>63.347909999999999</v>
      </c>
      <c r="CG10" s="3">
        <v>46.432130000000001</v>
      </c>
      <c r="CH10" s="3">
        <v>59.289769999999997</v>
      </c>
      <c r="CI10" s="3">
        <v>68.586299999999994</v>
      </c>
      <c r="CJ10" s="3">
        <v>67.547939999999997</v>
      </c>
      <c r="CK10" s="3">
        <v>68.3352</v>
      </c>
      <c r="CL10" s="3">
        <v>95.330529999999996</v>
      </c>
      <c r="CM10" s="3">
        <v>78.401499999999999</v>
      </c>
      <c r="CN10" s="3">
        <v>56.130009999999999</v>
      </c>
      <c r="CO10" s="3">
        <v>62.127740000000003</v>
      </c>
      <c r="CP10" s="3">
        <v>45.473730000000003</v>
      </c>
      <c r="CQ10" s="3">
        <v>38.781619999999997</v>
      </c>
      <c r="CR10" s="3">
        <v>57.614319999999999</v>
      </c>
      <c r="CS10" s="3">
        <v>74.124099999999999</v>
      </c>
      <c r="CT10" s="3">
        <v>66.969790000000003</v>
      </c>
      <c r="CU10" s="3">
        <v>89.053619999999995</v>
      </c>
      <c r="CV10" s="3">
        <v>72.188109999999995</v>
      </c>
      <c r="CW10" s="3">
        <v>60.297609999999999</v>
      </c>
      <c r="CX10" s="3">
        <v>62.475070000000002</v>
      </c>
      <c r="CY10" s="3">
        <v>51.567070000000001</v>
      </c>
    </row>
    <row r="11" spans="1:103" x14ac:dyDescent="0.2">
      <c r="A11" s="3">
        <v>1</v>
      </c>
      <c r="B11" s="4" t="s">
        <v>117</v>
      </c>
      <c r="C11" s="3">
        <v>36</v>
      </c>
      <c r="D11" s="3">
        <f>AVERAGE(Reformatted!D11:L11)</f>
        <v>48.897233333333332</v>
      </c>
      <c r="E11" s="3">
        <f>AVERAGE(Reformatted!M11:U11)</f>
        <v>41.725536666666663</v>
      </c>
      <c r="N11" s="3">
        <f>AVERAGE(Reformatted!V11:AD11)</f>
        <v>81.217806666666661</v>
      </c>
      <c r="W11" s="3">
        <f>AVERAGE(Reformatted!AE11:AM11)</f>
        <v>37.599087777777783</v>
      </c>
      <c r="X11" s="3">
        <v>29.49061</v>
      </c>
      <c r="Y11" s="3">
        <v>33.830440000000003</v>
      </c>
      <c r="Z11" s="3">
        <v>29.27797</v>
      </c>
      <c r="AA11" s="3">
        <v>79.623859999999993</v>
      </c>
      <c r="AB11" s="3">
        <v>43.744050000000001</v>
      </c>
      <c r="AC11" s="3">
        <v>41.05885</v>
      </c>
      <c r="AD11" s="3">
        <v>30.50562</v>
      </c>
      <c r="AE11" s="3">
        <v>19.96339</v>
      </c>
      <c r="AF11" s="3">
        <v>68.088390000000004</v>
      </c>
      <c r="AG11" s="3">
        <v>69.088170000000005</v>
      </c>
      <c r="AH11" s="3">
        <v>70.060370000000006</v>
      </c>
      <c r="AI11" s="3">
        <v>83.880769999999998</v>
      </c>
      <c r="AJ11" s="3">
        <v>96.519880000000001</v>
      </c>
      <c r="AK11" s="3">
        <v>87.388819999999996</v>
      </c>
      <c r="AL11" s="3">
        <v>64.672269999999997</v>
      </c>
      <c r="AM11" s="3">
        <v>69.374870000000001</v>
      </c>
      <c r="AN11" s="3">
        <v>85.198869999999999</v>
      </c>
      <c r="AO11" s="3">
        <v>60.209580000000003</v>
      </c>
      <c r="AP11" s="3">
        <v>63.323860000000003</v>
      </c>
      <c r="AQ11" s="3">
        <v>78.564319999999995</v>
      </c>
      <c r="AR11" s="3">
        <v>67.691699999999997</v>
      </c>
      <c r="AS11" s="3">
        <v>91.558679999999995</v>
      </c>
      <c r="AT11" s="3">
        <v>71.430289999999999</v>
      </c>
      <c r="AU11" s="3">
        <v>74.514049999999997</v>
      </c>
      <c r="AV11" s="3">
        <v>70.802480000000003</v>
      </c>
      <c r="AW11" s="3">
        <v>53.910890000000002</v>
      </c>
      <c r="AX11" s="3">
        <v>90.569540000000003</v>
      </c>
      <c r="AY11" s="3">
        <v>90.02458</v>
      </c>
      <c r="AZ11" s="3">
        <v>87.242810000000006</v>
      </c>
      <c r="BA11" s="3">
        <v>91.58278</v>
      </c>
      <c r="BB11" s="3">
        <v>99.631569999999996</v>
      </c>
      <c r="BC11" s="3">
        <v>93.221900000000005</v>
      </c>
      <c r="BD11" s="3">
        <v>95.184309999999996</v>
      </c>
      <c r="BE11" s="3">
        <v>97.000309999999999</v>
      </c>
      <c r="BF11" s="3">
        <v>91.973950000000002</v>
      </c>
      <c r="BG11" s="3">
        <v>48.521909999999998</v>
      </c>
      <c r="BH11" s="3">
        <v>50.141289999999998</v>
      </c>
      <c r="BI11" s="3">
        <v>43.948790000000002</v>
      </c>
      <c r="BJ11" s="3">
        <v>54.978549999999998</v>
      </c>
      <c r="BK11" s="3">
        <v>81.031880000000001</v>
      </c>
      <c r="BL11" s="3">
        <v>51.25996</v>
      </c>
      <c r="BM11" s="3">
        <v>56.791690000000003</v>
      </c>
      <c r="BN11" s="3">
        <v>45.480499999999999</v>
      </c>
      <c r="BO11" s="3">
        <v>28.999189999999999</v>
      </c>
      <c r="BP11" s="3">
        <v>41.485599999999998</v>
      </c>
      <c r="BQ11" s="3">
        <v>43.725270000000002</v>
      </c>
      <c r="BR11" s="3">
        <v>33.531669999999998</v>
      </c>
      <c r="BS11" s="3">
        <v>33.025089999999999</v>
      </c>
      <c r="BT11" s="3">
        <v>70.233279999999993</v>
      </c>
      <c r="BU11" s="3">
        <v>44.94285</v>
      </c>
      <c r="BV11" s="3">
        <v>30.326160000000002</v>
      </c>
      <c r="BW11" s="3">
        <v>33.164670000000001</v>
      </c>
      <c r="BX11" s="3">
        <v>26.090070000000001</v>
      </c>
      <c r="BY11" s="3">
        <v>77.884960000000007</v>
      </c>
      <c r="BZ11" s="3">
        <v>74.468689999999995</v>
      </c>
      <c r="CA11" s="3">
        <v>75.093969999999999</v>
      </c>
      <c r="CB11" s="3">
        <v>78.25864</v>
      </c>
      <c r="CC11" s="3">
        <v>97.387730000000005</v>
      </c>
      <c r="CD11" s="3">
        <v>83.345569999999995</v>
      </c>
      <c r="CE11" s="3">
        <v>75.796679999999995</v>
      </c>
      <c r="CF11" s="3">
        <v>73.942509999999999</v>
      </c>
      <c r="CG11" s="3">
        <v>51.087730000000001</v>
      </c>
      <c r="CH11" s="3">
        <v>66.991979999999998</v>
      </c>
      <c r="CI11" s="3">
        <v>77.105549999999994</v>
      </c>
      <c r="CJ11" s="3">
        <v>76.096549999999993</v>
      </c>
      <c r="CK11" s="3">
        <v>77.40446</v>
      </c>
      <c r="CL11" s="3">
        <v>97.558790000000002</v>
      </c>
      <c r="CM11" s="3">
        <v>86.800560000000004</v>
      </c>
      <c r="CN11" s="3">
        <v>66.887079999999997</v>
      </c>
      <c r="CO11" s="3">
        <v>69.157830000000004</v>
      </c>
      <c r="CP11" s="3">
        <v>56.288580000000003</v>
      </c>
      <c r="CQ11" s="3">
        <v>44.383470000000003</v>
      </c>
      <c r="CR11" s="3">
        <v>67.170630000000003</v>
      </c>
      <c r="CS11" s="3">
        <v>81.801720000000003</v>
      </c>
      <c r="CT11" s="3">
        <v>76.675169999999994</v>
      </c>
      <c r="CU11" s="3">
        <v>95.699299999999994</v>
      </c>
      <c r="CV11" s="3">
        <v>85.92998</v>
      </c>
      <c r="CW11" s="3">
        <v>70.137529999999998</v>
      </c>
      <c r="CX11" s="3">
        <v>71.949839999999995</v>
      </c>
      <c r="CY11" s="3">
        <v>62.816670000000002</v>
      </c>
    </row>
    <row r="12" spans="1:103" x14ac:dyDescent="0.2">
      <c r="A12" s="3">
        <v>1</v>
      </c>
      <c r="B12" s="4" t="s">
        <v>117</v>
      </c>
      <c r="C12" s="3">
        <v>40</v>
      </c>
      <c r="D12" s="3">
        <f>AVERAGE(Reformatted!D12:L12)</f>
        <v>53.750066666666669</v>
      </c>
      <c r="E12" s="3">
        <f>AVERAGE(Reformatted!M12:U12)</f>
        <v>44.222261111111109</v>
      </c>
      <c r="N12" s="3">
        <f>AVERAGE(Reformatted!V12:AD12)</f>
        <v>86.510434444444456</v>
      </c>
      <c r="W12" s="3">
        <f>AVERAGE(Reformatted!AE12:AM12)</f>
        <v>41.132963333333336</v>
      </c>
      <c r="X12" s="3">
        <v>32.231200000000001</v>
      </c>
      <c r="Y12" s="3">
        <v>36.658859999999997</v>
      </c>
      <c r="Z12" s="3">
        <v>33.97992</v>
      </c>
      <c r="AA12" s="3">
        <v>83.442279999999997</v>
      </c>
      <c r="AB12" s="3">
        <v>48.239190000000001</v>
      </c>
      <c r="AC12" s="3">
        <v>45.901919999999997</v>
      </c>
      <c r="AD12" s="3">
        <v>34.149639999999998</v>
      </c>
      <c r="AE12" s="3">
        <v>23.21433</v>
      </c>
      <c r="AF12" s="3">
        <v>75.952789999999993</v>
      </c>
      <c r="AG12" s="3">
        <v>75.670270000000002</v>
      </c>
      <c r="AH12" s="3">
        <v>77.628659999999996</v>
      </c>
      <c r="AI12" s="3">
        <v>89.809049999999999</v>
      </c>
      <c r="AJ12" s="3">
        <v>98.289100000000005</v>
      </c>
      <c r="AK12" s="3">
        <v>92.868030000000005</v>
      </c>
      <c r="AL12" s="3">
        <v>73.43571</v>
      </c>
      <c r="AM12" s="3">
        <v>75.538480000000007</v>
      </c>
      <c r="AN12" s="3">
        <v>89.600629999999995</v>
      </c>
      <c r="AO12" s="3">
        <v>66.51688</v>
      </c>
      <c r="AP12" s="3">
        <v>71.778369999999995</v>
      </c>
      <c r="AQ12" s="3">
        <v>86.56523</v>
      </c>
      <c r="AR12" s="3">
        <v>77.887690000000006</v>
      </c>
      <c r="AS12" s="3">
        <v>94.742339999999999</v>
      </c>
      <c r="AT12" s="3">
        <v>77.941019999999995</v>
      </c>
      <c r="AU12" s="3">
        <v>80.89188</v>
      </c>
      <c r="AV12" s="3">
        <v>75.44914</v>
      </c>
      <c r="AW12" s="3">
        <v>60.465389999999999</v>
      </c>
      <c r="AX12" s="3">
        <v>94.014349999999993</v>
      </c>
      <c r="AY12" s="3">
        <v>95.206440000000001</v>
      </c>
      <c r="AZ12" s="3">
        <v>91.271100000000004</v>
      </c>
      <c r="BA12" s="3">
        <v>94.320430000000002</v>
      </c>
      <c r="BB12" s="3">
        <v>99.829260000000005</v>
      </c>
      <c r="BC12" s="3">
        <v>96.567750000000004</v>
      </c>
      <c r="BD12" s="3">
        <v>96.616039999999998</v>
      </c>
      <c r="BE12" s="3">
        <v>97.783600000000007</v>
      </c>
      <c r="BF12" s="3">
        <v>95.518870000000007</v>
      </c>
      <c r="BG12" s="3">
        <v>54.138030000000001</v>
      </c>
      <c r="BH12" s="3">
        <v>56.390270000000001</v>
      </c>
      <c r="BI12" s="3">
        <v>51.475969999999997</v>
      </c>
      <c r="BJ12" s="3">
        <v>63.785310000000003</v>
      </c>
      <c r="BK12" s="3">
        <v>87.143100000000004</v>
      </c>
      <c r="BL12" s="3">
        <v>61.51934</v>
      </c>
      <c r="BM12" s="3">
        <v>68.158869999999993</v>
      </c>
      <c r="BN12" s="3">
        <v>50.73659</v>
      </c>
      <c r="BO12" s="3">
        <v>33.027070000000002</v>
      </c>
      <c r="BP12" s="3">
        <v>47.330030000000001</v>
      </c>
      <c r="BQ12" s="3">
        <v>43.135379999999998</v>
      </c>
      <c r="BR12" s="3">
        <v>32.599290000000003</v>
      </c>
      <c r="BS12" s="3">
        <v>37.222529999999999</v>
      </c>
      <c r="BT12" s="3">
        <v>75.212729999999993</v>
      </c>
      <c r="BU12" s="3">
        <v>50.01202</v>
      </c>
      <c r="BV12" s="3">
        <v>31.664180000000002</v>
      </c>
      <c r="BW12" s="3">
        <v>35.262309999999999</v>
      </c>
      <c r="BX12" s="3">
        <v>27.76135</v>
      </c>
      <c r="BY12" s="3">
        <v>79.876530000000002</v>
      </c>
      <c r="BZ12" s="3">
        <v>80.751410000000007</v>
      </c>
      <c r="CA12" s="3">
        <v>81.375110000000006</v>
      </c>
      <c r="CB12" s="3">
        <v>81.318349999999995</v>
      </c>
      <c r="CC12" s="3">
        <v>97.704729999999998</v>
      </c>
      <c r="CD12" s="3">
        <v>83.911090000000002</v>
      </c>
      <c r="CE12" s="3">
        <v>78.662180000000006</v>
      </c>
      <c r="CF12" s="3">
        <v>77.070639999999997</v>
      </c>
      <c r="CG12" s="3">
        <v>48.815480000000001</v>
      </c>
      <c r="CH12" s="3">
        <v>75.811160000000001</v>
      </c>
      <c r="CI12" s="3">
        <v>88.016009999999994</v>
      </c>
      <c r="CJ12" s="3">
        <v>82.450479999999999</v>
      </c>
      <c r="CK12" s="3">
        <v>87.013829999999999</v>
      </c>
      <c r="CL12" s="3">
        <v>98.792540000000002</v>
      </c>
      <c r="CM12" s="3">
        <v>93.739140000000006</v>
      </c>
      <c r="CN12" s="3">
        <v>74.110439999999997</v>
      </c>
      <c r="CO12" s="3">
        <v>79.964619999999996</v>
      </c>
      <c r="CP12" s="3">
        <v>66.730419999999995</v>
      </c>
      <c r="CQ12" s="3">
        <v>52.522399999999998</v>
      </c>
      <c r="CR12" s="3">
        <v>72.74024</v>
      </c>
      <c r="CS12" s="3">
        <v>87.579759999999993</v>
      </c>
      <c r="CT12" s="3">
        <v>83.77704</v>
      </c>
      <c r="CU12" s="3">
        <v>96.909760000000006</v>
      </c>
      <c r="CV12" s="3">
        <v>91.834689999999995</v>
      </c>
      <c r="CW12" s="3">
        <v>75.792310000000001</v>
      </c>
      <c r="CX12" s="3">
        <v>80.379890000000003</v>
      </c>
      <c r="CY12" s="3">
        <v>73.813370000000006</v>
      </c>
    </row>
    <row r="13" spans="1:103" x14ac:dyDescent="0.2">
      <c r="A13" s="3">
        <v>1</v>
      </c>
      <c r="B13" s="4" t="s">
        <v>117</v>
      </c>
      <c r="C13" s="3">
        <v>44</v>
      </c>
      <c r="D13" s="3">
        <f>AVERAGE(Reformatted!D13:L13)</f>
        <v>58.639434444444447</v>
      </c>
      <c r="E13" s="3">
        <f>AVERAGE(Reformatted!M13:U13)</f>
        <v>47.358493333333335</v>
      </c>
      <c r="N13" s="3">
        <f>AVERAGE(Reformatted!V13:AD13)</f>
        <v>88.772265555555549</v>
      </c>
      <c r="W13" s="3">
        <f>AVERAGE(Reformatted!AE13:AM13)</f>
        <v>46.957728888888894</v>
      </c>
      <c r="X13" s="3">
        <v>36.747770000000003</v>
      </c>
      <c r="Y13" s="3">
        <v>44.93103</v>
      </c>
      <c r="Z13" s="3">
        <v>40.865169999999999</v>
      </c>
      <c r="AA13" s="3">
        <v>87.831620000000001</v>
      </c>
      <c r="AB13" s="3">
        <v>56.39246</v>
      </c>
      <c r="AC13" s="3">
        <v>50.816890000000001</v>
      </c>
      <c r="AD13" s="3">
        <v>39.535690000000002</v>
      </c>
      <c r="AE13" s="3">
        <v>26.96603</v>
      </c>
      <c r="AF13" s="3">
        <v>85.390420000000006</v>
      </c>
      <c r="AG13" s="3">
        <v>84.843140000000005</v>
      </c>
      <c r="AH13" s="3">
        <v>1.465185</v>
      </c>
      <c r="AI13" s="3">
        <v>91.319040000000001</v>
      </c>
      <c r="AJ13" s="3">
        <v>99.289630000000002</v>
      </c>
      <c r="AK13" s="3">
        <v>95.602249999999998</v>
      </c>
      <c r="AL13" s="3">
        <v>82.66225</v>
      </c>
      <c r="AM13" s="3">
        <v>83.855580000000003</v>
      </c>
      <c r="AN13" s="3">
        <v>93.985669999999999</v>
      </c>
      <c r="AO13" s="3">
        <v>76.599369999999993</v>
      </c>
      <c r="AP13" s="3">
        <v>82.378230000000002</v>
      </c>
      <c r="AQ13" s="3">
        <v>92.357200000000006</v>
      </c>
      <c r="AR13" s="3">
        <v>84.827910000000003</v>
      </c>
      <c r="AS13" s="3">
        <v>96.966229999999996</v>
      </c>
      <c r="AT13" s="3">
        <v>85.457139999999995</v>
      </c>
      <c r="AU13" s="3">
        <v>88.618530000000007</v>
      </c>
      <c r="AV13" s="3">
        <v>86.193659999999994</v>
      </c>
      <c r="AW13" s="3">
        <v>68.43141</v>
      </c>
      <c r="AX13" s="3">
        <v>96.35154</v>
      </c>
      <c r="AY13" s="3">
        <v>96.333169999999996</v>
      </c>
      <c r="AZ13" s="3">
        <v>95.236490000000003</v>
      </c>
      <c r="BA13" s="3">
        <v>96.356049999999996</v>
      </c>
      <c r="BB13" s="3">
        <v>99.906840000000003</v>
      </c>
      <c r="BC13" s="3">
        <v>98.477509999999995</v>
      </c>
      <c r="BD13" s="3">
        <v>96.446269999999998</v>
      </c>
      <c r="BE13" s="3">
        <v>99.214089999999999</v>
      </c>
      <c r="BF13" s="3">
        <v>97.824650000000005</v>
      </c>
      <c r="BG13" s="3">
        <v>59.321330000000003</v>
      </c>
      <c r="BH13" s="3">
        <v>68.871690000000001</v>
      </c>
      <c r="BI13" s="3">
        <v>59.464179999999999</v>
      </c>
      <c r="BJ13" s="3">
        <v>72.741540000000001</v>
      </c>
      <c r="BK13" s="3">
        <v>93.475260000000006</v>
      </c>
      <c r="BL13" s="3">
        <v>70.153919999999999</v>
      </c>
      <c r="BM13" s="3">
        <v>77.139960000000002</v>
      </c>
      <c r="BN13" s="3">
        <v>58.170679999999997</v>
      </c>
      <c r="BO13" s="3">
        <v>38.8904</v>
      </c>
      <c r="BP13" s="3">
        <v>49.101489999999998</v>
      </c>
      <c r="BQ13" s="3">
        <v>49.787469999999999</v>
      </c>
      <c r="BR13" s="3">
        <v>35.429690000000001</v>
      </c>
      <c r="BS13" s="3">
        <v>39.691809999999997</v>
      </c>
      <c r="BT13" s="3">
        <v>79.764600000000002</v>
      </c>
      <c r="BU13" s="3">
        <v>53.200809999999997</v>
      </c>
      <c r="BV13" s="3">
        <v>38.009990000000002</v>
      </c>
      <c r="BW13" s="3">
        <v>42.80574</v>
      </c>
      <c r="BX13" s="3">
        <v>32.490369999999999</v>
      </c>
      <c r="BY13" s="3">
        <v>82.844449999999995</v>
      </c>
      <c r="BZ13" s="3">
        <v>83.180859999999996</v>
      </c>
      <c r="CA13" s="3">
        <v>80.271870000000007</v>
      </c>
      <c r="CB13" s="3">
        <v>80.445049999999995</v>
      </c>
      <c r="CC13" s="3">
        <v>97.633240000000001</v>
      </c>
      <c r="CD13" s="3">
        <v>83.231120000000004</v>
      </c>
      <c r="CE13" s="3">
        <v>88.258780000000002</v>
      </c>
      <c r="CF13" s="3">
        <v>86.821789999999993</v>
      </c>
      <c r="CG13" s="3">
        <v>74.397800000000004</v>
      </c>
      <c r="CH13" s="3">
        <v>84.497919999999993</v>
      </c>
      <c r="CI13" s="3">
        <v>91.422709999999995</v>
      </c>
      <c r="CJ13" s="3">
        <v>90.411789999999996</v>
      </c>
      <c r="CK13" s="3">
        <v>92.122820000000004</v>
      </c>
      <c r="CL13" s="3">
        <v>99.467060000000004</v>
      </c>
      <c r="CM13" s="3">
        <v>96.475629999999995</v>
      </c>
      <c r="CN13" s="3">
        <v>83.922899999999998</v>
      </c>
      <c r="CO13" s="3">
        <v>88.22484</v>
      </c>
      <c r="CP13" s="3">
        <v>70.58887</v>
      </c>
      <c r="CQ13" s="3">
        <v>61.808750000000003</v>
      </c>
      <c r="CR13" s="3">
        <v>84.188699999999997</v>
      </c>
      <c r="CS13" s="3">
        <v>93.571759999999998</v>
      </c>
      <c r="CT13" s="3">
        <v>91.871510000000001</v>
      </c>
      <c r="CU13" s="3">
        <v>99.102720000000005</v>
      </c>
      <c r="CV13" s="3">
        <v>95.917209999999997</v>
      </c>
      <c r="CW13" s="3">
        <v>86.641909999999996</v>
      </c>
      <c r="CX13" s="3">
        <v>87.550870000000003</v>
      </c>
      <c r="CY13" s="3">
        <v>82.250870000000006</v>
      </c>
    </row>
    <row r="14" spans="1:103" x14ac:dyDescent="0.2">
      <c r="A14" s="3">
        <v>1</v>
      </c>
      <c r="B14" s="4" t="s">
        <v>117</v>
      </c>
      <c r="C14" s="3">
        <v>48</v>
      </c>
      <c r="D14" s="3">
        <f>AVERAGE(Reformatted!D14:L14)</f>
        <v>72.545630000000003</v>
      </c>
      <c r="E14" s="3">
        <f>AVERAGE(Reformatted!M14:U14)</f>
        <v>68.091259999999991</v>
      </c>
      <c r="N14" s="3">
        <f>AVERAGE(Reformatted!V14:AD14)</f>
        <v>96.581117777777763</v>
      </c>
      <c r="W14" s="3">
        <f>AVERAGE(Reformatted!AE14:AM14)</f>
        <v>61.397141111111118</v>
      </c>
      <c r="X14" s="3">
        <v>52.685139999999997</v>
      </c>
      <c r="Y14" s="3">
        <v>63.491309999999999</v>
      </c>
      <c r="Z14" s="3">
        <v>54.952599999999997</v>
      </c>
      <c r="AA14" s="3">
        <v>96.602779999999996</v>
      </c>
      <c r="AB14" s="3">
        <v>72.990799999999993</v>
      </c>
      <c r="AC14" s="3">
        <v>69.144310000000004</v>
      </c>
      <c r="AD14" s="3">
        <v>52.518990000000002</v>
      </c>
      <c r="AE14" s="3">
        <v>37.609670000000001</v>
      </c>
      <c r="AF14" s="3">
        <v>96.469610000000003</v>
      </c>
      <c r="AG14" s="3">
        <v>96.651150000000001</v>
      </c>
      <c r="AH14" s="3">
        <v>97.653040000000004</v>
      </c>
      <c r="AI14" s="3">
        <v>99.05471</v>
      </c>
      <c r="AJ14" s="3">
        <v>99.87679</v>
      </c>
      <c r="AK14" s="3">
        <v>99.44171</v>
      </c>
      <c r="AL14" s="3">
        <v>95.873170000000002</v>
      </c>
      <c r="AM14" s="3">
        <v>95.041510000000002</v>
      </c>
      <c r="AN14" s="3">
        <v>99.033940000000001</v>
      </c>
      <c r="AO14" s="3">
        <v>93.547160000000005</v>
      </c>
      <c r="AP14" s="3">
        <v>95.881360000000001</v>
      </c>
      <c r="AQ14" s="3">
        <v>99.067819999999998</v>
      </c>
      <c r="AR14" s="3">
        <v>97.165509999999998</v>
      </c>
      <c r="AS14" s="3">
        <v>99.511709999999994</v>
      </c>
      <c r="AT14" s="3">
        <v>96.895070000000004</v>
      </c>
      <c r="AU14" s="3">
        <v>96.825959999999995</v>
      </c>
      <c r="AV14" s="3">
        <v>96.555729999999997</v>
      </c>
      <c r="AW14" s="3">
        <v>86.617540000000005</v>
      </c>
      <c r="AX14" s="3">
        <v>99.595309999999998</v>
      </c>
      <c r="AY14" s="3">
        <v>99.703950000000006</v>
      </c>
      <c r="AZ14" s="3">
        <v>99.305000000000007</v>
      </c>
      <c r="BA14" s="3">
        <v>99.884450000000001</v>
      </c>
      <c r="BB14" s="3">
        <v>99.993430000000004</v>
      </c>
      <c r="BC14" s="3">
        <v>99.693640000000002</v>
      </c>
      <c r="BD14" s="3">
        <v>99.841970000000003</v>
      </c>
      <c r="BE14" s="3">
        <v>99.898169999999993</v>
      </c>
      <c r="BF14" s="3">
        <v>99.564499999999995</v>
      </c>
      <c r="BG14" s="3">
        <v>83.455250000000007</v>
      </c>
      <c r="BH14" s="3">
        <v>86.405150000000006</v>
      </c>
      <c r="BI14" s="3">
        <v>80.050060000000002</v>
      </c>
      <c r="BJ14" s="3">
        <v>89.904390000000006</v>
      </c>
      <c r="BK14" s="3">
        <v>97.825680000000006</v>
      </c>
      <c r="BL14" s="3">
        <v>88.615260000000006</v>
      </c>
      <c r="BM14" s="3">
        <v>93.024540000000002</v>
      </c>
      <c r="BN14" s="3">
        <v>82.570750000000004</v>
      </c>
      <c r="BO14" s="3">
        <v>57.420369999999998</v>
      </c>
      <c r="BP14" s="3">
        <v>70.993560000000002</v>
      </c>
      <c r="BQ14" s="3">
        <v>67.596350000000001</v>
      </c>
      <c r="BR14" s="3">
        <v>52.763260000000002</v>
      </c>
      <c r="BS14" s="3">
        <v>62.918349999999997</v>
      </c>
      <c r="BT14" s="3">
        <v>89.582880000000003</v>
      </c>
      <c r="BU14" s="3">
        <v>71.177539999999993</v>
      </c>
      <c r="BV14" s="3">
        <v>54.47504</v>
      </c>
      <c r="BW14" s="3">
        <v>58.659100000000002</v>
      </c>
      <c r="BX14" s="3">
        <v>45.912089999999999</v>
      </c>
      <c r="BY14" s="3">
        <v>94.866069999999993</v>
      </c>
      <c r="BZ14" s="3">
        <v>95.831580000000002</v>
      </c>
      <c r="CA14" s="3">
        <v>94.957930000000005</v>
      </c>
      <c r="CB14" s="3">
        <v>95.760279999999995</v>
      </c>
      <c r="CC14" s="3">
        <v>99.822299999999998</v>
      </c>
      <c r="CD14" s="3">
        <v>96.838390000000004</v>
      </c>
      <c r="CE14" s="3">
        <v>96.670599999999993</v>
      </c>
      <c r="CF14" s="3">
        <v>96.032359999999997</v>
      </c>
      <c r="CG14" s="3">
        <v>92.798900000000003</v>
      </c>
      <c r="CH14" s="3">
        <v>96.787379999999999</v>
      </c>
      <c r="CI14" s="3">
        <v>99.18638</v>
      </c>
      <c r="CJ14" s="3">
        <v>98.385310000000004</v>
      </c>
      <c r="CK14" s="3">
        <v>98.94238</v>
      </c>
      <c r="CL14" s="3">
        <v>99.957599999999999</v>
      </c>
      <c r="CM14" s="3">
        <v>99.371989999999997</v>
      </c>
      <c r="CN14" s="3">
        <v>95.221879999999999</v>
      </c>
      <c r="CO14" s="3">
        <v>98.053150000000002</v>
      </c>
      <c r="CP14" s="3">
        <v>91.959879999999998</v>
      </c>
      <c r="CQ14" s="3">
        <v>81.140180000000001</v>
      </c>
      <c r="CR14" s="3">
        <v>95.213480000000004</v>
      </c>
      <c r="CS14" s="3">
        <v>99.114140000000006</v>
      </c>
      <c r="CT14" s="3">
        <v>98.293670000000006</v>
      </c>
      <c r="CU14" s="3">
        <v>99.928979999999996</v>
      </c>
      <c r="CV14" s="3">
        <v>99.752170000000007</v>
      </c>
      <c r="CW14" s="3">
        <v>97.251009999999994</v>
      </c>
      <c r="CX14" s="3">
        <v>97.776439999999994</v>
      </c>
      <c r="CY14" s="3">
        <v>96.229100000000003</v>
      </c>
    </row>
    <row r="15" spans="1:103" x14ac:dyDescent="0.2">
      <c r="A15" s="3">
        <v>1</v>
      </c>
      <c r="B15" s="4" t="s">
        <v>117</v>
      </c>
      <c r="C15" s="3">
        <v>52</v>
      </c>
      <c r="D15" s="3">
        <f>AVERAGE(Reformatted!D15:L15)</f>
        <v>72.439575555555564</v>
      </c>
      <c r="E15" s="3">
        <f>AVERAGE(Reformatted!M15:U15)</f>
        <v>64.379935555555548</v>
      </c>
      <c r="N15" s="3">
        <f>AVERAGE(Reformatted!V15:AD15)</f>
        <v>95.332209999999989</v>
      </c>
      <c r="W15" s="3">
        <f>AVERAGE(Reformatted!AE15:AM15)</f>
        <v>64.169152222222223</v>
      </c>
      <c r="X15" s="3">
        <v>54.113239999999998</v>
      </c>
      <c r="Y15" s="3">
        <v>64.359570000000005</v>
      </c>
      <c r="Z15" s="3">
        <v>58.352809999999998</v>
      </c>
      <c r="AA15" s="3">
        <v>95.965289999999996</v>
      </c>
      <c r="AB15" s="3">
        <v>78.654730000000001</v>
      </c>
      <c r="AC15" s="3">
        <v>71.646559999999994</v>
      </c>
      <c r="AD15" s="3">
        <v>56.430419999999998</v>
      </c>
      <c r="AE15" s="3">
        <v>39.960729999999998</v>
      </c>
      <c r="AF15" s="3">
        <v>97.345380000000006</v>
      </c>
      <c r="AG15" s="3">
        <v>95.954840000000004</v>
      </c>
      <c r="AH15" s="3">
        <v>95.449010000000001</v>
      </c>
      <c r="AI15" s="3">
        <v>98.815079999999995</v>
      </c>
      <c r="AJ15" s="3">
        <v>99.650279999999995</v>
      </c>
      <c r="AK15" s="3">
        <v>98.882750000000001</v>
      </c>
      <c r="AL15" s="3">
        <v>96.150980000000004</v>
      </c>
      <c r="AM15" s="3">
        <v>95.495999999999995</v>
      </c>
      <c r="AN15" s="3">
        <v>98.405879999999996</v>
      </c>
      <c r="AO15" s="3">
        <v>94.96414</v>
      </c>
      <c r="AP15" s="3">
        <v>97.225880000000004</v>
      </c>
      <c r="AQ15" s="3">
        <v>98.015870000000007</v>
      </c>
      <c r="AR15" s="3">
        <v>97.296970000000002</v>
      </c>
      <c r="AS15" s="3">
        <v>99.087490000000003</v>
      </c>
      <c r="AT15" s="3">
        <v>95.198790000000002</v>
      </c>
      <c r="AU15" s="3">
        <v>95.845020000000005</v>
      </c>
      <c r="AV15" s="3">
        <v>97.409989999999993</v>
      </c>
      <c r="AW15" s="3">
        <v>89.21396</v>
      </c>
      <c r="AX15" s="3">
        <v>99.351839999999996</v>
      </c>
      <c r="AY15" s="3">
        <v>99.492180000000005</v>
      </c>
      <c r="AZ15" s="3">
        <v>99.087350000000001</v>
      </c>
      <c r="BA15" s="3">
        <v>99.586979999999997</v>
      </c>
      <c r="BB15" s="3">
        <v>99.99091</v>
      </c>
      <c r="BC15" s="3">
        <v>99.661060000000006</v>
      </c>
      <c r="BD15" s="3">
        <v>99.656970000000001</v>
      </c>
      <c r="BE15" s="3">
        <v>99.853170000000006</v>
      </c>
      <c r="BF15" s="3">
        <v>99.333410000000001</v>
      </c>
      <c r="BG15" s="3">
        <v>85.811019999999999</v>
      </c>
      <c r="BH15" s="3">
        <v>89.003429999999994</v>
      </c>
      <c r="BI15" s="3">
        <v>86.305989999999994</v>
      </c>
      <c r="BJ15" s="3">
        <v>92.071529999999996</v>
      </c>
      <c r="BK15" s="3">
        <v>98.007679999999993</v>
      </c>
      <c r="BL15" s="3">
        <v>90.440539999999999</v>
      </c>
      <c r="BM15" s="3">
        <v>93.942229999999995</v>
      </c>
      <c r="BN15" s="3">
        <v>84.604740000000007</v>
      </c>
      <c r="BO15" s="3">
        <v>63.568069999999999</v>
      </c>
      <c r="BP15" s="3">
        <v>70.339340000000007</v>
      </c>
      <c r="BQ15" s="3">
        <v>66.477059999999994</v>
      </c>
      <c r="BR15" s="3">
        <v>52.211889999999997</v>
      </c>
      <c r="BS15" s="3">
        <v>59.646799999999999</v>
      </c>
      <c r="BT15" s="3">
        <v>87.657480000000007</v>
      </c>
      <c r="BU15" s="3">
        <v>67.22766</v>
      </c>
      <c r="BV15" s="3">
        <v>52.674959999999999</v>
      </c>
      <c r="BW15" s="3">
        <v>51.570480000000003</v>
      </c>
      <c r="BX15" s="3">
        <v>44.833979999999997</v>
      </c>
      <c r="BY15" s="3">
        <v>91.409800000000004</v>
      </c>
      <c r="BZ15" s="3">
        <v>93.620800000000003</v>
      </c>
      <c r="CA15" s="3">
        <v>90.237790000000004</v>
      </c>
      <c r="CB15" s="3">
        <v>92.877030000000005</v>
      </c>
      <c r="CC15" s="3">
        <v>98.547790000000006</v>
      </c>
      <c r="CD15" s="3">
        <v>93.519509999999997</v>
      </c>
      <c r="CE15" s="3">
        <v>92.485039999999998</v>
      </c>
      <c r="CF15" s="3">
        <v>94.406130000000005</v>
      </c>
      <c r="CG15" s="3">
        <v>89.434070000000006</v>
      </c>
      <c r="CH15" s="3">
        <v>97.74606</v>
      </c>
      <c r="CI15" s="3">
        <v>99.087760000000003</v>
      </c>
      <c r="CJ15" s="3">
        <v>99.045419999999993</v>
      </c>
      <c r="CK15" s="3">
        <v>99.29025</v>
      </c>
      <c r="CL15" s="3">
        <v>99.904529999999994</v>
      </c>
      <c r="CM15" s="3">
        <v>98.997280000000003</v>
      </c>
      <c r="CN15" s="3">
        <v>96.114850000000004</v>
      </c>
      <c r="CO15" s="3">
        <v>98.360200000000006</v>
      </c>
      <c r="CP15" s="3">
        <v>94.695819999999998</v>
      </c>
      <c r="CQ15" s="3">
        <v>85.688159999999996</v>
      </c>
      <c r="CR15" s="3">
        <v>96.802260000000004</v>
      </c>
      <c r="CS15" s="3">
        <v>98.960049999999995</v>
      </c>
      <c r="CT15" s="3">
        <v>98.364009999999993</v>
      </c>
      <c r="CU15" s="3">
        <v>99.925420000000003</v>
      </c>
      <c r="CV15" s="3">
        <v>99.61054</v>
      </c>
      <c r="CW15" s="3">
        <v>97.770359999999997</v>
      </c>
      <c r="CX15" s="3">
        <v>98.116799999999998</v>
      </c>
      <c r="CY15" s="3">
        <v>96.426869999999994</v>
      </c>
    </row>
    <row r="16" spans="1:103" x14ac:dyDescent="0.2">
      <c r="A16" s="3">
        <v>1</v>
      </c>
      <c r="B16" s="4" t="s">
        <v>117</v>
      </c>
      <c r="C16" s="3">
        <v>56</v>
      </c>
      <c r="D16" s="3">
        <f>AVERAGE(Reformatted!D16:L16)</f>
        <v>74.711375555555549</v>
      </c>
      <c r="E16" s="3">
        <f>AVERAGE(Reformatted!M16:U16)</f>
        <v>65.768657777777776</v>
      </c>
      <c r="N16" s="3">
        <f>AVERAGE(Reformatted!V16:AD16)</f>
        <v>94.752941111111113</v>
      </c>
      <c r="W16" s="3">
        <f>AVERAGE(Reformatted!AE16:AM16)</f>
        <v>67.603564444444444</v>
      </c>
      <c r="X16" s="3">
        <v>57.992989999999999</v>
      </c>
      <c r="Y16" s="3">
        <v>69.504270000000005</v>
      </c>
      <c r="Z16" s="3">
        <v>61.933590000000002</v>
      </c>
      <c r="AA16" s="3">
        <v>96.565299999999993</v>
      </c>
      <c r="AB16" s="3">
        <v>80.673010000000005</v>
      </c>
      <c r="AC16" s="3">
        <v>77.359250000000003</v>
      </c>
      <c r="AD16" s="3">
        <v>58.32461</v>
      </c>
      <c r="AE16" s="3">
        <v>45.230820000000001</v>
      </c>
      <c r="AF16" s="3">
        <v>97.847260000000006</v>
      </c>
      <c r="AG16" s="3">
        <v>97.729190000000003</v>
      </c>
      <c r="AH16" s="3">
        <v>97.704800000000006</v>
      </c>
      <c r="AI16" s="3">
        <v>98.658760000000001</v>
      </c>
      <c r="AJ16" s="3">
        <v>99.666120000000006</v>
      </c>
      <c r="AK16" s="3">
        <v>99.022750000000002</v>
      </c>
      <c r="AL16" s="3">
        <v>97.165300000000002</v>
      </c>
      <c r="AM16" s="3">
        <v>96.27704</v>
      </c>
      <c r="AN16" s="3">
        <v>98.537130000000005</v>
      </c>
      <c r="AO16" s="3">
        <v>96.253079999999997</v>
      </c>
      <c r="AP16" s="3">
        <v>98.596339999999998</v>
      </c>
      <c r="AQ16" s="3">
        <v>98.664420000000007</v>
      </c>
      <c r="AR16" s="3">
        <v>98.175259999999994</v>
      </c>
      <c r="AS16" s="3">
        <v>99.080060000000003</v>
      </c>
      <c r="AT16" s="3">
        <v>97.207440000000005</v>
      </c>
      <c r="AU16" s="3">
        <v>98.086889999999997</v>
      </c>
      <c r="AV16" s="3">
        <v>98.481470000000002</v>
      </c>
      <c r="AW16" s="3">
        <v>91.95326</v>
      </c>
      <c r="AX16" s="3">
        <v>99.279929999999993</v>
      </c>
      <c r="AY16" s="3">
        <v>99.607249999999993</v>
      </c>
      <c r="AZ16" s="3">
        <v>99.325140000000005</v>
      </c>
      <c r="BA16" s="3">
        <v>99.550030000000007</v>
      </c>
      <c r="BB16" s="3">
        <v>99.965770000000006</v>
      </c>
      <c r="BC16" s="3">
        <v>99.67089</v>
      </c>
      <c r="BD16" s="3">
        <v>99.61627</v>
      </c>
      <c r="BE16" s="3">
        <v>99.601100000000002</v>
      </c>
      <c r="BF16" s="3">
        <v>99.196070000000006</v>
      </c>
      <c r="BG16" s="3">
        <v>90.581630000000004</v>
      </c>
      <c r="BH16" s="3">
        <v>93.679310000000001</v>
      </c>
      <c r="BI16" s="3">
        <v>89.746780000000001</v>
      </c>
      <c r="BJ16" s="3">
        <v>94.658940000000001</v>
      </c>
      <c r="BK16" s="3">
        <v>98.583650000000006</v>
      </c>
      <c r="BL16" s="3">
        <v>93.500739999999993</v>
      </c>
      <c r="BM16" s="3">
        <v>96.756169999999997</v>
      </c>
      <c r="BN16" s="3">
        <v>89.662710000000004</v>
      </c>
      <c r="BO16" s="3">
        <v>71.463130000000007</v>
      </c>
      <c r="BP16" s="3">
        <v>74.739670000000004</v>
      </c>
      <c r="BQ16" s="3">
        <v>70.011259999999993</v>
      </c>
      <c r="BR16" s="3">
        <v>55.453249999999997</v>
      </c>
      <c r="BS16" s="3">
        <v>60.280940000000001</v>
      </c>
      <c r="BT16" s="3">
        <v>87.800060000000002</v>
      </c>
      <c r="BU16" s="3">
        <v>73.720699999999994</v>
      </c>
      <c r="BV16" s="3">
        <v>56.599919999999997</v>
      </c>
      <c r="BW16" s="3">
        <v>58.932130000000001</v>
      </c>
      <c r="BX16" s="3">
        <v>50.102310000000003</v>
      </c>
      <c r="BY16" s="3">
        <v>92.049959999999999</v>
      </c>
      <c r="BZ16" s="3">
        <v>92.990530000000007</v>
      </c>
      <c r="CA16" s="3">
        <v>91.293909999999997</v>
      </c>
      <c r="CB16" s="3">
        <v>94.645979999999994</v>
      </c>
      <c r="CC16" s="3">
        <v>98.254959999999997</v>
      </c>
      <c r="CD16" s="3">
        <v>94.759270000000001</v>
      </c>
      <c r="CE16" s="3">
        <v>93.93329</v>
      </c>
      <c r="CF16" s="3">
        <v>92.466800000000006</v>
      </c>
      <c r="CG16" s="3">
        <v>90.34281</v>
      </c>
      <c r="CH16" s="3">
        <v>98.24709</v>
      </c>
      <c r="CI16" s="3">
        <v>99.480509999999995</v>
      </c>
      <c r="CJ16" s="3">
        <v>98.362790000000004</v>
      </c>
      <c r="CK16" s="3">
        <v>99.455579999999998</v>
      </c>
      <c r="CL16" s="3">
        <v>99.922349999999994</v>
      </c>
      <c r="CM16" s="3">
        <v>99.426280000000006</v>
      </c>
      <c r="CN16" s="3">
        <v>97.389240000000001</v>
      </c>
      <c r="CO16" s="3">
        <v>99.007999999999996</v>
      </c>
      <c r="CP16" s="3">
        <v>96.632429999999999</v>
      </c>
      <c r="CQ16" s="3">
        <v>90.139989999999997</v>
      </c>
      <c r="CR16" s="3">
        <v>98.280360000000002</v>
      </c>
      <c r="CS16" s="3">
        <v>98.680199999999999</v>
      </c>
      <c r="CT16" s="3">
        <v>98.935469999999995</v>
      </c>
      <c r="CU16" s="3">
        <v>99.945849999999993</v>
      </c>
      <c r="CV16" s="3">
        <v>99.805769999999995</v>
      </c>
      <c r="CW16" s="3">
        <v>98.331509999999994</v>
      </c>
      <c r="CX16" s="3">
        <v>98.226129999999998</v>
      </c>
      <c r="CY16" s="3">
        <v>97.709379999999996</v>
      </c>
    </row>
    <row r="17" spans="1:103" x14ac:dyDescent="0.2">
      <c r="A17" s="3">
        <v>1</v>
      </c>
      <c r="B17" s="4" t="s">
        <v>117</v>
      </c>
      <c r="C17" s="3">
        <v>60</v>
      </c>
      <c r="D17" s="3">
        <f>AVERAGE(Reformatted!D17:L17)</f>
        <v>76.457001111111111</v>
      </c>
      <c r="E17" s="3">
        <f>AVERAGE(Reformatted!M17:U17)</f>
        <v>67.45979777777778</v>
      </c>
      <c r="N17" s="3">
        <f>AVERAGE(Reformatted!V17:AD17)</f>
        <v>94.926886666666661</v>
      </c>
      <c r="W17" s="3">
        <f>AVERAGE(Reformatted!AE17:AM17)</f>
        <v>73.836755555555555</v>
      </c>
      <c r="X17" s="3">
        <v>67.758610000000004</v>
      </c>
      <c r="Y17" s="3">
        <v>76.898489999999995</v>
      </c>
      <c r="Z17" s="3">
        <v>72.182370000000006</v>
      </c>
      <c r="AA17" s="3">
        <v>96.666979999999995</v>
      </c>
      <c r="AB17" s="3">
        <v>84.404300000000006</v>
      </c>
      <c r="AC17" s="3">
        <v>81.405079999999998</v>
      </c>
      <c r="AD17" s="3">
        <v>67.876480000000001</v>
      </c>
      <c r="AE17" s="3">
        <v>51.965960000000003</v>
      </c>
      <c r="AF17" s="3">
        <v>97.550319999999999</v>
      </c>
      <c r="AG17" s="3">
        <v>98.221010000000007</v>
      </c>
      <c r="AH17" s="3">
        <v>97.695650000000001</v>
      </c>
      <c r="AI17" s="3">
        <v>99.078410000000005</v>
      </c>
      <c r="AJ17" s="3">
        <v>99.407570000000007</v>
      </c>
      <c r="AK17" s="3">
        <v>99.007109999999997</v>
      </c>
      <c r="AL17" s="3">
        <v>97.728359999999995</v>
      </c>
      <c r="AM17" s="3">
        <v>98.236170000000001</v>
      </c>
      <c r="AN17" s="3">
        <v>98.446430000000007</v>
      </c>
      <c r="AO17" s="3">
        <v>96.456779999999995</v>
      </c>
      <c r="AP17" s="3">
        <v>98.46011</v>
      </c>
      <c r="AQ17" s="3">
        <v>98.055139999999994</v>
      </c>
      <c r="AR17" s="3">
        <v>98.932199999999995</v>
      </c>
      <c r="AS17" s="3">
        <v>99.481179999999995</v>
      </c>
      <c r="AT17" s="3">
        <v>97.69708</v>
      </c>
      <c r="AU17" s="3">
        <v>98.26943</v>
      </c>
      <c r="AV17" s="3">
        <v>99.00752</v>
      </c>
      <c r="AW17" s="3">
        <v>95.378799999999998</v>
      </c>
      <c r="AX17" s="3">
        <v>99.367490000000004</v>
      </c>
      <c r="AY17" s="3">
        <v>99.73066</v>
      </c>
      <c r="AZ17" s="3">
        <v>99.235209999999995</v>
      </c>
      <c r="BA17" s="3">
        <v>99.50188</v>
      </c>
      <c r="BB17" s="3">
        <v>99.949259999999995</v>
      </c>
      <c r="BC17" s="3">
        <v>99.55453</v>
      </c>
      <c r="BD17" s="3">
        <v>99.603840000000005</v>
      </c>
      <c r="BE17" s="3">
        <v>99.759540000000001</v>
      </c>
      <c r="BF17" s="3">
        <v>99.252420000000001</v>
      </c>
      <c r="BG17" s="3">
        <v>94.284649999999999</v>
      </c>
      <c r="BH17" s="3">
        <v>95.201650000000001</v>
      </c>
      <c r="BI17" s="3">
        <v>94.409549999999996</v>
      </c>
      <c r="BJ17" s="3">
        <v>96.521590000000003</v>
      </c>
      <c r="BK17" s="3">
        <v>98.776290000000003</v>
      </c>
      <c r="BL17" s="3">
        <v>95.175219999999996</v>
      </c>
      <c r="BM17" s="3">
        <v>97.614450000000005</v>
      </c>
      <c r="BN17" s="3">
        <v>92.308099999999996</v>
      </c>
      <c r="BO17" s="3">
        <v>77.956249999999997</v>
      </c>
      <c r="BP17" s="3">
        <v>77.194119999999998</v>
      </c>
      <c r="BQ17" s="3">
        <v>73.553730000000002</v>
      </c>
      <c r="BR17" s="3">
        <v>60.529249999999998</v>
      </c>
      <c r="BS17" s="3">
        <v>68.987030000000004</v>
      </c>
      <c r="BT17" s="3">
        <v>89.034630000000007</v>
      </c>
      <c r="BU17" s="3">
        <v>75.157619999999994</v>
      </c>
      <c r="BV17" s="3">
        <v>56.743540000000003</v>
      </c>
      <c r="BW17" s="3">
        <v>60.09055</v>
      </c>
      <c r="BX17" s="3">
        <v>53.420900000000003</v>
      </c>
      <c r="BY17" s="3">
        <v>91.624979999999994</v>
      </c>
      <c r="BZ17" s="3">
        <v>91.496870000000001</v>
      </c>
      <c r="CA17" s="3">
        <v>93.399460000000005</v>
      </c>
      <c r="CB17" s="3">
        <v>93.19717</v>
      </c>
      <c r="CC17" s="3">
        <v>98.066810000000004</v>
      </c>
      <c r="CD17" s="3">
        <v>96.378039999999999</v>
      </c>
      <c r="CE17" s="3">
        <v>94.50667</v>
      </c>
      <c r="CF17" s="3">
        <v>93.077669999999998</v>
      </c>
      <c r="CG17" s="3">
        <v>91.196789999999993</v>
      </c>
      <c r="CH17" s="3">
        <v>99.192939999999993</v>
      </c>
      <c r="CI17" s="3">
        <v>99.519970000000001</v>
      </c>
      <c r="CJ17" s="3">
        <v>99.156949999999995</v>
      </c>
      <c r="CK17" s="3">
        <v>99.399709999999999</v>
      </c>
      <c r="CL17" s="3">
        <v>99.904589999999999</v>
      </c>
      <c r="CM17" s="3">
        <v>98.836250000000007</v>
      </c>
      <c r="CN17" s="3">
        <v>97.996889999999993</v>
      </c>
      <c r="CO17" s="3">
        <v>99.219290000000001</v>
      </c>
      <c r="CP17" s="3">
        <v>98.290949999999995</v>
      </c>
      <c r="CQ17" s="3">
        <v>91.387190000000004</v>
      </c>
      <c r="CR17" s="3">
        <v>98.408680000000004</v>
      </c>
      <c r="CS17" s="3">
        <v>99.146289999999993</v>
      </c>
      <c r="CT17" s="3">
        <v>99.018450000000001</v>
      </c>
      <c r="CU17" s="3">
        <v>99.914569999999998</v>
      </c>
      <c r="CV17" s="3">
        <v>99.831599999999995</v>
      </c>
      <c r="CW17" s="3">
        <v>98.603579999999994</v>
      </c>
      <c r="CX17" s="3">
        <v>98.610069999999993</v>
      </c>
      <c r="CY17" s="3">
        <v>97.724130000000002</v>
      </c>
    </row>
    <row r="18" spans="1:103" x14ac:dyDescent="0.2">
      <c r="A18" s="3">
        <v>1</v>
      </c>
      <c r="B18" s="4" t="s">
        <v>117</v>
      </c>
      <c r="C18" s="3">
        <v>64</v>
      </c>
      <c r="D18" s="3">
        <f>AVERAGE(Reformatted!D18:L18)</f>
        <v>80.45208555555557</v>
      </c>
      <c r="E18" s="3">
        <f>AVERAGE(Reformatted!M18:U18)</f>
        <v>70.443875555555564</v>
      </c>
      <c r="N18" s="3">
        <f>AVERAGE(Reformatted!V18:AD18)</f>
        <v>95.402335555555567</v>
      </c>
      <c r="W18" s="3">
        <f>AVERAGE(Reformatted!AE18:AM18)</f>
        <v>79.958165555555567</v>
      </c>
      <c r="X18" s="3">
        <v>73.040930000000003</v>
      </c>
      <c r="Y18" s="3">
        <v>82.822199999999995</v>
      </c>
      <c r="Z18" s="3">
        <v>78.130740000000003</v>
      </c>
      <c r="AA18" s="3">
        <v>97.129580000000004</v>
      </c>
      <c r="AB18" s="3">
        <v>92.346270000000004</v>
      </c>
      <c r="AC18" s="3">
        <v>87.003720000000001</v>
      </c>
      <c r="AD18" s="3">
        <v>73.796639999999996</v>
      </c>
      <c r="AE18" s="3">
        <v>62.515230000000003</v>
      </c>
      <c r="AF18" s="3">
        <v>98.513300000000001</v>
      </c>
      <c r="AG18" s="3">
        <v>98.637169999999998</v>
      </c>
      <c r="AH18" s="3">
        <v>96.675790000000006</v>
      </c>
      <c r="AI18" s="3">
        <v>99.220870000000005</v>
      </c>
      <c r="AJ18" s="3">
        <v>99.605879999999999</v>
      </c>
      <c r="AK18" s="3">
        <v>99.32535</v>
      </c>
      <c r="AL18" s="3">
        <v>97.793719999999993</v>
      </c>
      <c r="AM18" s="3">
        <v>97.359660000000005</v>
      </c>
      <c r="AN18" s="3">
        <v>99.170869999999994</v>
      </c>
      <c r="AO18" s="3">
        <v>97.232290000000006</v>
      </c>
      <c r="AP18" s="3">
        <v>98.737219999999994</v>
      </c>
      <c r="AQ18" s="3">
        <v>99.119730000000004</v>
      </c>
      <c r="AR18" s="3">
        <v>99.018450000000001</v>
      </c>
      <c r="AS18" s="3">
        <v>99.326710000000006</v>
      </c>
      <c r="AT18" s="3">
        <v>98.061959999999999</v>
      </c>
      <c r="AU18" s="3">
        <v>97.824590000000001</v>
      </c>
      <c r="AV18" s="3">
        <v>99.34836</v>
      </c>
      <c r="AW18" s="3">
        <v>96.773319999999998</v>
      </c>
      <c r="AX18" s="3">
        <v>99.411739999999995</v>
      </c>
      <c r="AY18" s="3">
        <v>99.432429999999997</v>
      </c>
      <c r="AZ18" s="3">
        <v>99.483919999999998</v>
      </c>
      <c r="BA18" s="3">
        <v>99.461309999999997</v>
      </c>
      <c r="BB18" s="3">
        <v>99.927750000000003</v>
      </c>
      <c r="BC18" s="3">
        <v>99.594480000000004</v>
      </c>
      <c r="BD18" s="3">
        <v>98.782229999999998</v>
      </c>
      <c r="BE18" s="3">
        <v>99.542850000000001</v>
      </c>
      <c r="BF18" s="3">
        <v>99.694469999999995</v>
      </c>
      <c r="BG18" s="3">
        <v>95.293239999999997</v>
      </c>
      <c r="BH18" s="3">
        <v>97.412719999999993</v>
      </c>
      <c r="BI18" s="3">
        <v>96.683850000000007</v>
      </c>
      <c r="BJ18" s="3">
        <v>97.141329999999996</v>
      </c>
      <c r="BK18" s="3">
        <v>99.048630000000003</v>
      </c>
      <c r="BL18" s="3">
        <v>97.576679999999996</v>
      </c>
      <c r="BM18" s="3">
        <v>97.808049999999994</v>
      </c>
      <c r="BN18" s="3">
        <v>95.589960000000005</v>
      </c>
      <c r="BO18" s="3">
        <v>84.674930000000003</v>
      </c>
      <c r="BP18" s="3">
        <v>78.412840000000003</v>
      </c>
      <c r="BQ18" s="3">
        <v>75.999920000000003</v>
      </c>
      <c r="BR18" s="3">
        <v>65.542429999999996</v>
      </c>
      <c r="BS18" s="3">
        <v>73.091189999999997</v>
      </c>
      <c r="BT18" s="3">
        <v>89.592230000000001</v>
      </c>
      <c r="BU18" s="3">
        <v>82.48415</v>
      </c>
      <c r="BV18" s="3">
        <v>57.934130000000003</v>
      </c>
      <c r="BW18" s="3">
        <v>65.696839999999995</v>
      </c>
      <c r="BX18" s="3">
        <v>61.201990000000002</v>
      </c>
      <c r="BY18" s="3">
        <v>93.20223</v>
      </c>
      <c r="BZ18" s="3">
        <v>92.415859999999995</v>
      </c>
      <c r="CA18" s="3">
        <v>94.735240000000005</v>
      </c>
      <c r="CB18" s="3">
        <v>92.559619999999995</v>
      </c>
      <c r="CC18" s="3">
        <v>98.84478</v>
      </c>
      <c r="CD18" s="3">
        <v>91.688220000000001</v>
      </c>
      <c r="CE18" s="3">
        <v>94.399169999999998</v>
      </c>
      <c r="CF18" s="3">
        <v>95.024990000000003</v>
      </c>
      <c r="CG18" s="3">
        <v>90.216890000000006</v>
      </c>
      <c r="CH18" s="3">
        <v>99.160629999999998</v>
      </c>
      <c r="CI18" s="3">
        <v>99.263409999999993</v>
      </c>
      <c r="CJ18" s="3">
        <v>99.207890000000006</v>
      </c>
      <c r="CK18" s="3">
        <v>99.307040000000001</v>
      </c>
      <c r="CL18" s="3">
        <v>99.958200000000005</v>
      </c>
      <c r="CM18" s="3">
        <v>99.300479999999993</v>
      </c>
      <c r="CN18" s="3">
        <v>98.332049999999995</v>
      </c>
      <c r="CO18" s="3">
        <v>99.654300000000006</v>
      </c>
      <c r="CP18" s="3">
        <v>98.567310000000006</v>
      </c>
      <c r="CQ18" s="3">
        <v>92.270740000000004</v>
      </c>
      <c r="CR18" s="3">
        <v>99.220320000000001</v>
      </c>
      <c r="CS18" s="3">
        <v>99.371930000000006</v>
      </c>
      <c r="CT18" s="3">
        <v>98.846969999999999</v>
      </c>
      <c r="CU18" s="3">
        <v>99.801400000000001</v>
      </c>
      <c r="CV18" s="3">
        <v>99.761930000000007</v>
      </c>
      <c r="CW18" s="3">
        <v>98.680340000000001</v>
      </c>
      <c r="CX18" s="3">
        <v>99.230149999999995</v>
      </c>
      <c r="CY18" s="3">
        <v>98.481409999999997</v>
      </c>
    </row>
    <row r="19" spans="1:103" x14ac:dyDescent="0.2">
      <c r="A19" s="3">
        <v>1</v>
      </c>
      <c r="B19" s="4" t="s">
        <v>117</v>
      </c>
      <c r="C19" s="3">
        <v>68</v>
      </c>
      <c r="D19" s="3">
        <f>AVERAGE(Reformatted!D19:L19)</f>
        <v>82.000178888888897</v>
      </c>
      <c r="E19" s="3">
        <f>AVERAGE(Reformatted!M19:U19)</f>
        <v>71.447517777777776</v>
      </c>
      <c r="N19" s="3">
        <f>AVERAGE(Reformatted!V19:AD19)</f>
        <v>95.746364444444453</v>
      </c>
      <c r="W19" s="3">
        <f>AVERAGE(Reformatted!AE19:AM19)</f>
        <v>84.299527777777769</v>
      </c>
      <c r="X19" s="3">
        <v>77.484350000000006</v>
      </c>
      <c r="Y19" s="3">
        <v>88.136539999999997</v>
      </c>
      <c r="Z19" s="3">
        <v>86.259219999999999</v>
      </c>
      <c r="AA19" s="3">
        <v>97.449659999999994</v>
      </c>
      <c r="AB19" s="3">
        <v>92.109369999999998</v>
      </c>
      <c r="AC19" s="3">
        <v>89.121639999999999</v>
      </c>
      <c r="AD19" s="3">
        <v>80.124499999999998</v>
      </c>
      <c r="AE19" s="3">
        <v>68.561719999999994</v>
      </c>
      <c r="AF19" s="3">
        <v>97.888840000000002</v>
      </c>
      <c r="AG19" s="3">
        <v>98.532359999999997</v>
      </c>
      <c r="AH19" s="3">
        <v>97.146249999999995</v>
      </c>
      <c r="AI19" s="3">
        <v>98.98048</v>
      </c>
      <c r="AJ19" s="3">
        <v>99.634159999999994</v>
      </c>
      <c r="AK19" s="3">
        <v>99.327799999999996</v>
      </c>
      <c r="AL19" s="3">
        <v>97.66704</v>
      </c>
      <c r="AM19" s="3">
        <v>98.684430000000006</v>
      </c>
      <c r="AN19" s="3">
        <v>99.297550000000001</v>
      </c>
      <c r="AO19" s="3">
        <v>97.894710000000003</v>
      </c>
      <c r="AP19" s="3">
        <v>98.88288</v>
      </c>
      <c r="AQ19" s="3">
        <v>98.799430000000001</v>
      </c>
      <c r="AR19" s="3">
        <v>99.090630000000004</v>
      </c>
      <c r="AS19" s="3">
        <v>99.577129999999997</v>
      </c>
      <c r="AT19" s="3">
        <v>98.608360000000005</v>
      </c>
      <c r="AU19" s="3">
        <v>98.471369999999993</v>
      </c>
      <c r="AV19" s="3">
        <v>99.33587</v>
      </c>
      <c r="AW19" s="3">
        <v>97.837770000000006</v>
      </c>
      <c r="AX19" s="3">
        <v>98.892920000000004</v>
      </c>
      <c r="AY19" s="3">
        <v>99.577129999999997</v>
      </c>
      <c r="AZ19" s="3">
        <v>98.785169999999994</v>
      </c>
      <c r="BA19" s="3">
        <v>99.251940000000005</v>
      </c>
      <c r="BB19" s="3">
        <v>99.952330000000003</v>
      </c>
      <c r="BC19" s="3">
        <v>99.319879999999998</v>
      </c>
      <c r="BD19" s="3">
        <v>99.60445</v>
      </c>
      <c r="BE19" s="3">
        <v>99.475589999999997</v>
      </c>
      <c r="BF19" s="3">
        <v>99.305880000000002</v>
      </c>
      <c r="BG19" s="3">
        <v>96.36712</v>
      </c>
      <c r="BH19" s="3">
        <v>98.165289999999999</v>
      </c>
      <c r="BI19" s="3">
        <v>97.900729999999996</v>
      </c>
      <c r="BJ19" s="3">
        <v>97.051460000000006</v>
      </c>
      <c r="BK19" s="3">
        <v>98.865610000000004</v>
      </c>
      <c r="BL19" s="3">
        <v>98.138980000000004</v>
      </c>
      <c r="BM19" s="3">
        <v>98.331429999999997</v>
      </c>
      <c r="BN19" s="3">
        <v>94.204679999999996</v>
      </c>
      <c r="BO19" s="3">
        <v>90.194149999999993</v>
      </c>
      <c r="BP19" s="3">
        <v>82.777320000000003</v>
      </c>
      <c r="BQ19" s="3">
        <v>79.6905</v>
      </c>
      <c r="BR19" s="3">
        <v>65.961939999999998</v>
      </c>
      <c r="BS19" s="3">
        <v>71.308040000000005</v>
      </c>
      <c r="BT19" s="3">
        <v>91.740120000000005</v>
      </c>
      <c r="BU19" s="3">
        <v>83.590940000000003</v>
      </c>
      <c r="BV19" s="3">
        <v>61.24973</v>
      </c>
      <c r="BW19" s="3">
        <v>68.138990000000007</v>
      </c>
      <c r="BX19" s="3">
        <v>62.675579999999997</v>
      </c>
      <c r="BY19" s="3">
        <v>92.433959999999999</v>
      </c>
      <c r="BZ19" s="3">
        <v>93.790570000000002</v>
      </c>
      <c r="CA19" s="3">
        <v>94.847149999999999</v>
      </c>
      <c r="CB19" s="3">
        <v>94.256230000000002</v>
      </c>
      <c r="CC19" s="3">
        <v>98.840209999999999</v>
      </c>
      <c r="CD19" s="3">
        <v>93.165710000000004</v>
      </c>
      <c r="CE19" s="3">
        <v>94.909450000000007</v>
      </c>
      <c r="CF19" s="3">
        <v>93.033619999999999</v>
      </c>
      <c r="CG19" s="3">
        <v>89.793409999999994</v>
      </c>
      <c r="CH19" s="3">
        <v>98.928229999999999</v>
      </c>
      <c r="CI19" s="3">
        <v>99.364879999999999</v>
      </c>
      <c r="CJ19" s="3">
        <v>99.489919999999998</v>
      </c>
      <c r="CK19" s="3">
        <v>99.456460000000007</v>
      </c>
      <c r="CL19" s="3">
        <v>99.943920000000006</v>
      </c>
      <c r="CM19" s="3">
        <v>98.912800000000004</v>
      </c>
      <c r="CN19" s="3">
        <v>98.584379999999996</v>
      </c>
      <c r="CO19" s="3">
        <v>99.603759999999994</v>
      </c>
      <c r="CP19" s="3">
        <v>98.858990000000006</v>
      </c>
      <c r="CQ19" s="3">
        <v>94.987430000000003</v>
      </c>
      <c r="CR19" s="3">
        <v>98.701449999999994</v>
      </c>
      <c r="CS19" s="3">
        <v>99.468419999999995</v>
      </c>
      <c r="CT19" s="3">
        <v>99.064480000000003</v>
      </c>
      <c r="CU19" s="3">
        <v>99.815669999999997</v>
      </c>
      <c r="CV19" s="3">
        <v>99.770259999999993</v>
      </c>
      <c r="CW19" s="3">
        <v>98.975139999999996</v>
      </c>
      <c r="CX19" s="3">
        <v>98.81071</v>
      </c>
      <c r="CY19" s="3">
        <v>98.127120000000005</v>
      </c>
    </row>
    <row r="20" spans="1:103" x14ac:dyDescent="0.2">
      <c r="A20" s="3">
        <v>1</v>
      </c>
      <c r="B20" s="4" t="s">
        <v>117</v>
      </c>
      <c r="C20" s="3">
        <v>72</v>
      </c>
      <c r="D20" s="3">
        <f>AVERAGE(Reformatted!D20:L20)</f>
        <v>93.196768888888883</v>
      </c>
      <c r="E20" s="3">
        <f>AVERAGE(Reformatted!M20:U20)</f>
        <v>93.48596666666667</v>
      </c>
      <c r="N20" s="3">
        <f>AVERAGE(Reformatted!V20:AD20)</f>
        <v>99.305821111111115</v>
      </c>
      <c r="W20" s="3">
        <f>AVERAGE(Reformatted!AE20:AM20)</f>
        <v>95.654588888888895</v>
      </c>
      <c r="X20" s="3">
        <v>94.963120000000004</v>
      </c>
      <c r="Y20" s="3">
        <v>95.900149999999996</v>
      </c>
      <c r="Z20" s="3">
        <v>96.186009999999996</v>
      </c>
      <c r="AA20" s="3">
        <v>99.772589999999994</v>
      </c>
      <c r="AB20" s="3">
        <v>98.598590000000002</v>
      </c>
      <c r="AC20" s="3">
        <v>98.449299999999994</v>
      </c>
      <c r="AD20" s="3">
        <v>95.316860000000005</v>
      </c>
      <c r="AE20" s="3">
        <v>87.170770000000005</v>
      </c>
      <c r="AF20" s="3">
        <v>99.922150000000002</v>
      </c>
      <c r="AG20" s="3">
        <v>99.922749999999994</v>
      </c>
      <c r="AH20" s="3">
        <v>99.737830000000002</v>
      </c>
      <c r="AI20" s="3">
        <v>99.861710000000002</v>
      </c>
      <c r="AJ20" s="3">
        <v>99.979920000000007</v>
      </c>
      <c r="AK20" s="3">
        <v>99.938739999999996</v>
      </c>
      <c r="AL20" s="3">
        <v>99.881789999999995</v>
      </c>
      <c r="AM20" s="3">
        <v>99.772450000000006</v>
      </c>
      <c r="AN20" s="3">
        <v>99.983400000000003</v>
      </c>
      <c r="AO20" s="3">
        <v>99.78331</v>
      </c>
      <c r="AP20" s="3">
        <v>99.939019999999999</v>
      </c>
      <c r="AQ20" s="3">
        <v>99.95711</v>
      </c>
      <c r="AR20" s="3">
        <v>99.910539999999997</v>
      </c>
      <c r="AS20" s="3">
        <v>99.956090000000003</v>
      </c>
      <c r="AT20" s="3">
        <v>99.889690000000002</v>
      </c>
      <c r="AU20" s="3">
        <v>99.856170000000006</v>
      </c>
      <c r="AV20" s="3">
        <v>99.902209999999997</v>
      </c>
      <c r="AW20" s="3">
        <v>99.836359999999999</v>
      </c>
      <c r="AX20" s="3">
        <v>99.992959999999997</v>
      </c>
      <c r="AY20" s="3">
        <v>99.924610000000001</v>
      </c>
      <c r="AZ20" s="3">
        <v>99.927189999999996</v>
      </c>
      <c r="BA20" s="3">
        <v>99.989000000000004</v>
      </c>
      <c r="BB20" s="3">
        <v>100</v>
      </c>
      <c r="BC20" s="3">
        <v>99.946719999999999</v>
      </c>
      <c r="BD20" s="3">
        <v>99.980930000000001</v>
      </c>
      <c r="BE20" s="3">
        <v>99.978899999999996</v>
      </c>
      <c r="BF20" s="3">
        <v>99.987009999999998</v>
      </c>
      <c r="BG20" s="3">
        <v>99.660250000000005</v>
      </c>
      <c r="BH20" s="3">
        <v>99.924059999999997</v>
      </c>
      <c r="BI20" s="3">
        <v>99.90016</v>
      </c>
      <c r="BJ20" s="3">
        <v>99.80086</v>
      </c>
      <c r="BK20" s="3">
        <v>99.97569</v>
      </c>
      <c r="BL20" s="3">
        <v>99.672880000000006</v>
      </c>
      <c r="BM20" s="3">
        <v>99.833290000000005</v>
      </c>
      <c r="BN20" s="3">
        <v>99.717820000000003</v>
      </c>
      <c r="BO20" s="3">
        <v>98.419120000000007</v>
      </c>
      <c r="BP20" s="3">
        <v>97.348590000000002</v>
      </c>
      <c r="BQ20" s="3">
        <v>95.260930000000002</v>
      </c>
      <c r="BR20" s="3">
        <v>90.052989999999994</v>
      </c>
      <c r="BS20" s="3">
        <v>94.131810000000002</v>
      </c>
      <c r="BT20" s="3">
        <v>99.056560000000005</v>
      </c>
      <c r="BU20" s="3">
        <v>96.976900000000001</v>
      </c>
      <c r="BV20" s="3">
        <v>87.972700000000003</v>
      </c>
      <c r="BW20" s="3">
        <v>91.541730000000001</v>
      </c>
      <c r="BX20" s="3">
        <v>89.698899999999995</v>
      </c>
      <c r="BY20" s="3">
        <v>99.323509999999999</v>
      </c>
      <c r="BZ20" s="3">
        <v>99.294560000000004</v>
      </c>
      <c r="CA20" s="3">
        <v>99.38203</v>
      </c>
      <c r="CB20" s="3">
        <v>99.499960000000002</v>
      </c>
      <c r="CC20" s="3">
        <v>99.988590000000002</v>
      </c>
      <c r="CD20" s="3">
        <v>99.439400000000006</v>
      </c>
      <c r="CE20" s="3">
        <v>99.635040000000004</v>
      </c>
      <c r="CF20" s="3">
        <v>99.417060000000006</v>
      </c>
      <c r="CG20" s="3">
        <v>99.116579999999999</v>
      </c>
      <c r="CH20" s="3">
        <v>99.979770000000002</v>
      </c>
      <c r="CI20" s="3">
        <v>99.993570000000005</v>
      </c>
      <c r="CJ20" s="3">
        <v>99.990089999999995</v>
      </c>
      <c r="CK20" s="3">
        <v>99.968860000000006</v>
      </c>
      <c r="CL20" s="3">
        <v>99.993229999999997</v>
      </c>
      <c r="CM20" s="3">
        <v>99.983670000000004</v>
      </c>
      <c r="CN20" s="3">
        <v>99.924940000000007</v>
      </c>
      <c r="CO20" s="3">
        <v>99.997669999999999</v>
      </c>
      <c r="CP20" s="3">
        <v>99.959220000000002</v>
      </c>
      <c r="CQ20" s="3">
        <v>99.721019999999996</v>
      </c>
      <c r="CR20" s="3">
        <v>99.988039999999998</v>
      </c>
      <c r="CS20" s="3">
        <v>99.961619999999996</v>
      </c>
      <c r="CT20" s="3">
        <v>99.978489999999994</v>
      </c>
      <c r="CU20" s="3">
        <v>99.993229999999997</v>
      </c>
      <c r="CV20" s="3">
        <v>100</v>
      </c>
      <c r="CW20" s="3">
        <v>99.985169999999997</v>
      </c>
      <c r="CX20" s="3">
        <v>99.998570000000001</v>
      </c>
      <c r="CY20" s="3">
        <v>99.927130000000005</v>
      </c>
    </row>
  </sheetData>
  <conditionalFormatting sqref="E23:XFD1048576 D25 D28:D1048576 D1:XFD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{731EC600-2089-4344-AE61-FBFF7BDEA168}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1EC600-2089-4344-AE61-FBFF7BDEA1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E23:XFD1048576 D25 D28:D1048576 D1:XFD22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Reformatted</vt:lpstr>
      <vt:lpstr>raw</vt:lpstr>
      <vt:lpstr>Reformatted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Spangaro</dc:creator>
  <cp:lastModifiedBy>Allie Spangaro</cp:lastModifiedBy>
  <dcterms:created xsi:type="dcterms:W3CDTF">2025-11-19T17:21:41Z</dcterms:created>
  <dcterms:modified xsi:type="dcterms:W3CDTF">2025-12-01T01:00:19Z</dcterms:modified>
</cp:coreProperties>
</file>